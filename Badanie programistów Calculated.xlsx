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Twój kod jest świetny, a co z T" sheetId="1" state="visible" r:id="rId3"/>
    <sheet name="Analiza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<sst xmlns="http://schemas.openxmlformats.org/spreadsheetml/2006/main" count="355" uniqueCount="190">
  <si>
    <t xml:space="preserve">Submission ID</t>
  </si>
  <si>
    <t xml:space="preserve">Submitted at</t>
  </si>
  <si>
    <t xml:space="preserve">CZY_PROGRAMISTA</t>
  </si>
  <si>
    <t xml:space="preserve"> STAŻ PRACY</t>
  </si>
  <si>
    <t xml:space="preserve">POLSKA</t>
  </si>
  <si>
    <t xml:space="preserve">E_PLUS_1</t>
  </si>
  <si>
    <t xml:space="preserve">U_MINUS_1</t>
  </si>
  <si>
    <t xml:space="preserve">S_MINUS_1</t>
  </si>
  <si>
    <t xml:space="preserve"> SE_PLUS_1</t>
  </si>
  <si>
    <t xml:space="preserve"> I_PLUS_1</t>
  </si>
  <si>
    <t xml:space="preserve"> E_MINUS_2</t>
  </si>
  <si>
    <t xml:space="preserve">U_PLUS_2</t>
  </si>
  <si>
    <t xml:space="preserve"> S_PLUS_2</t>
  </si>
  <si>
    <t xml:space="preserve"> SE_MINUS_2</t>
  </si>
  <si>
    <t xml:space="preserve"> I_MINUS_2</t>
  </si>
  <si>
    <t xml:space="preserve">E_PLUS_3</t>
  </si>
  <si>
    <t xml:space="preserve">U_MINUS_3</t>
  </si>
  <si>
    <t xml:space="preserve">S_MINUS_3</t>
  </si>
  <si>
    <t xml:space="preserve">SE_PLUS_3</t>
  </si>
  <si>
    <t xml:space="preserve">I_PLUS_3</t>
  </si>
  <si>
    <t xml:space="preserve"> E_MINUS_4</t>
  </si>
  <si>
    <t xml:space="preserve">U_PLUS_4</t>
  </si>
  <si>
    <t xml:space="preserve">S_PLUS_4</t>
  </si>
  <si>
    <t xml:space="preserve">SE_MINUS_4</t>
  </si>
  <si>
    <t xml:space="preserve">I_MINUS_4</t>
  </si>
  <si>
    <t xml:space="preserve">Forma zatrudnienia</t>
  </si>
  <si>
    <t xml:space="preserve">Zarobki</t>
  </si>
  <si>
    <t xml:space="preserve">U_MINUS_1_REC</t>
  </si>
  <si>
    <t xml:space="preserve">S_MINUS_1_REC</t>
  </si>
  <si>
    <t xml:space="preserve"> E_MINUS_2_REC</t>
  </si>
  <si>
    <t xml:space="preserve"> SE_MINUS_2_REC</t>
  </si>
  <si>
    <t xml:space="preserve"> I_MINUS_2_REC</t>
  </si>
  <si>
    <t xml:space="preserve">U_MINUS_3_REC</t>
  </si>
  <si>
    <t xml:space="preserve">S_MINUS_3_REC</t>
  </si>
  <si>
    <t xml:space="preserve"> E_MINUS_4_REC</t>
  </si>
  <si>
    <t xml:space="preserve">SE_MINUS_4_REC</t>
  </si>
  <si>
    <t xml:space="preserve">I_MINUS_4_REC</t>
  </si>
  <si>
    <t xml:space="preserve">WYNIK_EKSTRAWERSJA</t>
  </si>
  <si>
    <t xml:space="preserve">WYNIK_UGODOWOSC</t>
  </si>
  <si>
    <t xml:space="preserve">WYNIK_SUMIENNOSC</t>
  </si>
  <si>
    <t xml:space="preserve">WYNIK_STABILNOSC_EMOCJONALNA</t>
  </si>
  <si>
    <t xml:space="preserve">WYNIK_INTELEKT</t>
  </si>
  <si>
    <t xml:space="preserve">9oxqs3ejiynzbyrf5915oz9oxqs2ztbl</t>
  </si>
  <si>
    <t xml:space="preserve">2025-12-23 09:46:52</t>
  </si>
  <si>
    <t xml:space="preserve">Tak</t>
  </si>
  <si>
    <t xml:space="preserve">Umowa cywilnoprawna</t>
  </si>
  <si>
    <t xml:space="preserve">lep021q40n9ocwrns9lep0auifn6awaf</t>
  </si>
  <si>
    <t xml:space="preserve">2025-12-23 09:46:03</t>
  </si>
  <si>
    <t xml:space="preserve">Umowa o pracę</t>
  </si>
  <si>
    <t xml:space="preserve">n13j7zr7jz37jwxf1ct0n13jmie4sp7f</t>
  </si>
  <si>
    <t xml:space="preserve">2025-12-23 09:46:41</t>
  </si>
  <si>
    <t xml:space="preserve">ODqZMZp</t>
  </si>
  <si>
    <t xml:space="preserve">2025-12-29 10:42:05</t>
  </si>
  <si>
    <t xml:space="preserve">nlchofm3ljohqlxnlcs1onfevjsvh5kg</t>
  </si>
  <si>
    <t xml:space="preserve">2025-12-21 19:06:20</t>
  </si>
  <si>
    <t xml:space="preserve">q4QOvjg</t>
  </si>
  <si>
    <t xml:space="preserve">2025-12-24 16:45:10</t>
  </si>
  <si>
    <t xml:space="preserve">tdvdrzi1hphy71tdvd5tcgiyt37a4ktg</t>
  </si>
  <si>
    <t xml:space="preserve">2025-12-21 19:04:28</t>
  </si>
  <si>
    <t xml:space="preserve">Bzoa7DY</t>
  </si>
  <si>
    <t xml:space="preserve">2025-12-22 09:12:36</t>
  </si>
  <si>
    <t xml:space="preserve">xXbY2OG</t>
  </si>
  <si>
    <t xml:space="preserve">2025-12-23 09:44:40</t>
  </si>
  <si>
    <t xml:space="preserve">gD88rk4</t>
  </si>
  <si>
    <t xml:space="preserve">2026-01-07 08:32:59</t>
  </si>
  <si>
    <t xml:space="preserve">B2B</t>
  </si>
  <si>
    <t xml:space="preserve">7gd906mis9qr0rmud7gd9087wbt48xaj</t>
  </si>
  <si>
    <t xml:space="preserve">2025-12-21 19:46:56</t>
  </si>
  <si>
    <t xml:space="preserve">LZxZzNj</t>
  </si>
  <si>
    <t xml:space="preserve">2025-12-21 20:38:53</t>
  </si>
  <si>
    <t xml:space="preserve">vG6GX6g</t>
  </si>
  <si>
    <t xml:space="preserve">2025-12-21 20:19:44</t>
  </si>
  <si>
    <t xml:space="preserve">680Ldje</t>
  </si>
  <si>
    <t xml:space="preserve">2025-12-22 09:27:07</t>
  </si>
  <si>
    <t xml:space="preserve">GxEKzkL</t>
  </si>
  <si>
    <t xml:space="preserve">2025-12-22 13:26:09</t>
  </si>
  <si>
    <t xml:space="preserve">GxEKJrL</t>
  </si>
  <si>
    <t xml:space="preserve">2025-12-22 13:55:29</t>
  </si>
  <si>
    <t xml:space="preserve">aQJeaVW</t>
  </si>
  <si>
    <t xml:space="preserve">2025-12-22 14:31:51</t>
  </si>
  <si>
    <t xml:space="preserve">b5R59Mo</t>
  </si>
  <si>
    <t xml:space="preserve">2025-12-21 20:39:41</t>
  </si>
  <si>
    <t xml:space="preserve">RGqJZEd</t>
  </si>
  <si>
    <t xml:space="preserve">2026-01-04 13:16:21</t>
  </si>
  <si>
    <t xml:space="preserve">RGe2DrJ</t>
  </si>
  <si>
    <t xml:space="preserve">2025-12-27 17:19:26</t>
  </si>
  <si>
    <t xml:space="preserve">Ekor0LL</t>
  </si>
  <si>
    <t xml:space="preserve">2026-01-06 16:35:19</t>
  </si>
  <si>
    <t xml:space="preserve">VL7LQ2a</t>
  </si>
  <si>
    <t xml:space="preserve">2025-12-21 20:52:05</t>
  </si>
  <si>
    <t xml:space="preserve">f1fa38mavsz07f1fa32x8sisbcgg328g</t>
  </si>
  <si>
    <t xml:space="preserve">2025-12-18 08:27:57</t>
  </si>
  <si>
    <t xml:space="preserve">ja4ZeWJ</t>
  </si>
  <si>
    <t xml:space="preserve">2025-12-22 08:41:00</t>
  </si>
  <si>
    <t xml:space="preserve">zxBNpPE</t>
  </si>
  <si>
    <t xml:space="preserve">2025-12-22 16:22:15</t>
  </si>
  <si>
    <t xml:space="preserve">QK9K0Dp</t>
  </si>
  <si>
    <t xml:space="preserve">2025-12-21 22:09:45</t>
  </si>
  <si>
    <t xml:space="preserve">81Dz9BA</t>
  </si>
  <si>
    <t xml:space="preserve">2025-12-22 16:00:08</t>
  </si>
  <si>
    <t xml:space="preserve">lb2rRG5</t>
  </si>
  <si>
    <t xml:space="preserve">2025-12-23 09:39:10</t>
  </si>
  <si>
    <t xml:space="preserve">b5R7LKe</t>
  </si>
  <si>
    <t xml:space="preserve">2025-12-23 17:55:03</t>
  </si>
  <si>
    <t xml:space="preserve">LZxvKzp</t>
  </si>
  <si>
    <t xml:space="preserve">2025-12-26 08:42:38</t>
  </si>
  <si>
    <t xml:space="preserve">EkVNWoA</t>
  </si>
  <si>
    <t xml:space="preserve">2025-12-26 18:21:17</t>
  </si>
  <si>
    <t xml:space="preserve">pbq90Pq</t>
  </si>
  <si>
    <t xml:space="preserve">2025-12-28 09:25:34</t>
  </si>
  <si>
    <t xml:space="preserve">poe8uuc88szbgk8kq90poe8uukjwxuy3</t>
  </si>
  <si>
    <t xml:space="preserve">2025-12-21 19:41:54</t>
  </si>
  <si>
    <t xml:space="preserve">rj9dgyv</t>
  </si>
  <si>
    <t xml:space="preserve">2025-12-25 09:14:36</t>
  </si>
  <si>
    <t xml:space="preserve">eqOEjgq</t>
  </si>
  <si>
    <t xml:space="preserve">2025-12-24 12:41:11</t>
  </si>
  <si>
    <t xml:space="preserve">gDP4PR4</t>
  </si>
  <si>
    <t xml:space="preserve">2025-12-24 13:00:41</t>
  </si>
  <si>
    <t xml:space="preserve">680x5QP</t>
  </si>
  <si>
    <t xml:space="preserve">2025-12-24 12:25:56</t>
  </si>
  <si>
    <t xml:space="preserve">obNBg8O</t>
  </si>
  <si>
    <t xml:space="preserve">2025-12-24 07:46:55</t>
  </si>
  <si>
    <t xml:space="preserve">OUTLIERS:</t>
  </si>
  <si>
    <t xml:space="preserve">ja89pK6</t>
  </si>
  <si>
    <t xml:space="preserve">2026-01-04 17:46:30</t>
  </si>
  <si>
    <t xml:space="preserve">vG84DgX</t>
  </si>
  <si>
    <t xml:space="preserve">2026-01-04 00:04:56</t>
  </si>
  <si>
    <t xml:space="preserve">xdts23vofdriznskr9xdtsns2gzavjyi</t>
  </si>
  <si>
    <t xml:space="preserve">2025-12-21 19:15:08</t>
  </si>
  <si>
    <t xml:space="preserve">RGedkrQ</t>
  </si>
  <si>
    <t xml:space="preserve">2025-12-22 14:35:03</t>
  </si>
  <si>
    <t xml:space="preserve">zxBjqg8</t>
  </si>
  <si>
    <t xml:space="preserve">2025-12-22 09:24:27</t>
  </si>
  <si>
    <t xml:space="preserve">5B0QKKM</t>
  </si>
  <si>
    <t xml:space="preserve">2025-12-27 22:37:02</t>
  </si>
  <si>
    <t xml:space="preserve">Cecha</t>
  </si>
  <si>
    <t xml:space="preserve">Treść Pytania</t>
  </si>
  <si>
    <t xml:space="preserve">Typ Pytania</t>
  </si>
  <si>
    <t xml:space="preserve">Ekstrawersja</t>
  </si>
  <si>
    <t xml:space="preserve">Jestem duszą towarzystwa.</t>
  </si>
  <si>
    <t xml:space="preserve">WPROST</t>
  </si>
  <si>
    <t xml:space="preserve">Rozmawiam z wieloma różnymi ludźmi na przyjęciach.</t>
  </si>
  <si>
    <t xml:space="preserve">Trzymam się z boku.</t>
  </si>
  <si>
    <t xml:space="preserve">ODWRÓCONE</t>
  </si>
  <si>
    <t xml:space="preserve">Wśród nieznajomych jestem małomówny/a.</t>
  </si>
  <si>
    <t xml:space="preserve">Ugodowość</t>
  </si>
  <si>
    <t xml:space="preserve">Jestem wyrozumiały/a dla uczuć innych ludzi.</t>
  </si>
  <si>
    <t xml:space="preserve">Znajduję czas dla innych.</t>
  </si>
  <si>
    <t xml:space="preserve">Niezbyt obchodzą mnie inni ludzie.</t>
  </si>
  <si>
    <t xml:space="preserve">Nie interesują mnie problemy innych ludzi.</t>
  </si>
  <si>
    <t xml:space="preserve">Sumienność</t>
  </si>
  <si>
    <t xml:space="preserve">Bez zwłoki wypełniam codzienne obowiązki.</t>
  </si>
  <si>
    <t xml:space="preserve">Postępuję zgodnie z harmonogramem.</t>
  </si>
  <si>
    <t xml:space="preserve">Zostawiam moje rzeczy gdzie popadnie.</t>
  </si>
  <si>
    <t xml:space="preserve">Często zapominam odkładać rzeczy na miejsce.</t>
  </si>
  <si>
    <t xml:space="preserve">Stabilność Emocjonalna</t>
  </si>
  <si>
    <t xml:space="preserve">Zwykle jestem zrelaksowany/a.</t>
  </si>
  <si>
    <t xml:space="preserve">Rzadko czuję się przygnębiony/a.</t>
  </si>
  <si>
    <t xml:space="preserve">Często martwię się czymś.</t>
  </si>
  <si>
    <t xml:space="preserve">Często miewam huśtawki nastrojów.</t>
  </si>
  <si>
    <t xml:space="preserve">Intelekt (Otwartość)</t>
  </si>
  <si>
    <t xml:space="preserve">Mam bogate słownictwo.</t>
  </si>
  <si>
    <t xml:space="preserve">Mam głowę pełną pomysłów.</t>
  </si>
  <si>
    <t xml:space="preserve">Mam trudności ze zrozumieniem abstrakcyjnych pojęć.</t>
  </si>
  <si>
    <t xml:space="preserve">Nie mam zbyt bogatej wyobraźni.</t>
  </si>
  <si>
    <t xml:space="preserve">CZY_B2B</t>
  </si>
  <si>
    <t xml:space="preserve">Bez outliers:</t>
  </si>
  <si>
    <t xml:space="preserve">Regression</t>
  </si>
  <si>
    <t xml:space="preserve">Regression Model</t>
  </si>
  <si>
    <t xml:space="preserve">Linear</t>
  </si>
  <si>
    <t xml:space="preserve">LINEST raw output</t>
  </si>
  <si>
    <t xml:space="preserve">Regression Statistics</t>
  </si>
  <si>
    <t xml:space="preserve">R^2</t>
  </si>
  <si>
    <t xml:space="preserve">Standard Error</t>
  </si>
  <si>
    <t xml:space="preserve">Count of X variables</t>
  </si>
  <si>
    <t xml:space="preserve">Observations</t>
  </si>
  <si>
    <t xml:space="preserve">Adjusted R^2</t>
  </si>
  <si>
    <t xml:space="preserve">Analysis of Variance (ANOVA)</t>
  </si>
  <si>
    <t xml:space="preserve">df</t>
  </si>
  <si>
    <t xml:space="preserve">SS</t>
  </si>
  <si>
    <t xml:space="preserve">MS</t>
  </si>
  <si>
    <t xml:space="preserve">F</t>
  </si>
  <si>
    <t xml:space="preserve">Significance F</t>
  </si>
  <si>
    <t xml:space="preserve">Residual</t>
  </si>
  <si>
    <t xml:space="preserve">Total</t>
  </si>
  <si>
    <t xml:space="preserve">Confidence level</t>
  </si>
  <si>
    <t xml:space="preserve">Coefficients</t>
  </si>
  <si>
    <t xml:space="preserve">t-Statistic</t>
  </si>
  <si>
    <t xml:space="preserve">P-value</t>
  </si>
  <si>
    <t xml:space="preserve">Predicted 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</si>
</sst>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  <font>
      <b val="true"/>
      <sz val="14"/>
      <name val="Arial"/>
      <family val="2"/>
    </font>
    <font>
      <b val="true"/>
      <sz val="10"/>
      <name val="Times New Roman"/>
      <family val="1"/>
    </font>
    <font>
      <b val="true"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tru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bottom" textRotation="0" wrapText="false" indent="0" shrinkToFit="tru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FFFF00"/>
          <bgColor rgb="FF000000"/>
        </patternFill>
      </fill>
    </dxf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R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9.14"/>
    <col collapsed="false" customWidth="true" hidden="false" outlineLevel="0" max="2" min="2" style="0" width="17.99"/>
    <col collapsed="false" customWidth="true" hidden="false" outlineLevel="0" max="3" min="3" style="0" width="19.48"/>
    <col collapsed="false" customWidth="true" hidden="false" outlineLevel="0" max="4" min="4" style="0" width="7.93"/>
    <col collapsed="false" customWidth="true" hidden="false" outlineLevel="0" max="5" min="5" style="0" width="8.9"/>
    <col collapsed="false" customWidth="true" hidden="false" outlineLevel="0" max="6" min="6" style="0" width="11.69"/>
    <col collapsed="false" customWidth="true" hidden="false" outlineLevel="0" max="7" min="7" style="0" width="12.24"/>
    <col collapsed="false" customWidth="true" hidden="false" outlineLevel="0" max="8" min="8" style="0" width="12.01"/>
    <col collapsed="false" customWidth="true" hidden="false" outlineLevel="0" max="9" min="9" style="0" width="12.38"/>
    <col collapsed="false" customWidth="true" hidden="false" outlineLevel="0" max="10" min="10" style="0" width="10.62"/>
    <col collapsed="false" customWidth="true" hidden="false" outlineLevel="0" max="11" min="11" style="0" width="12.1"/>
    <col collapsed="false" customWidth="true" hidden="false" outlineLevel="0" max="12" min="12" style="0" width="11.76"/>
    <col collapsed="false" customWidth="true" hidden="false" outlineLevel="0" max="13" min="13" style="0" width="12.76"/>
    <col collapsed="false" customWidth="true" hidden="false" outlineLevel="0" max="14" min="14" style="0" width="12.9"/>
    <col collapsed="false" customWidth="true" hidden="false" outlineLevel="0" max="15" min="15" style="0" width="11.4"/>
    <col collapsed="false" customWidth="true" hidden="false" outlineLevel="0" max="16" min="16" style="0" width="10.85"/>
    <col collapsed="false" customWidth="true" hidden="false" outlineLevel="0" max="17" min="17" style="0" width="11.4"/>
    <col collapsed="false" customWidth="true" hidden="false" outlineLevel="0" max="19" min="19" style="0" width="12.24"/>
    <col collapsed="false" customWidth="true" hidden="false" outlineLevel="0" max="20" min="20" style="0" width="14.54"/>
    <col collapsed="false" customWidth="true" hidden="false" outlineLevel="0" max="21" min="21" style="0" width="12.24"/>
    <col collapsed="false" customWidth="true" hidden="false" outlineLevel="0" max="22" min="22" style="0" width="11.82"/>
    <col collapsed="false" customWidth="true" hidden="false" outlineLevel="0" max="23" min="23" style="0" width="10.99"/>
    <col collapsed="false" customWidth="true" hidden="false" outlineLevel="0" max="24" min="24" style="0" width="13.91"/>
    <col collapsed="false" customWidth="true" hidden="false" outlineLevel="0" max="25" min="25" style="0" width="14.29"/>
    <col collapsed="false" customWidth="true" hidden="false" outlineLevel="0" max="26" min="26" style="0" width="27.26"/>
    <col collapsed="false" customWidth="true" hidden="false" outlineLevel="0" max="27" min="27" style="0" width="19.48"/>
    <col collapsed="false" customWidth="true" hidden="false" outlineLevel="0" max="29" min="29" style="0" width="17.34"/>
    <col collapsed="false" customWidth="true" hidden="false" outlineLevel="0" max="30" min="30" style="0" width="16.36"/>
    <col collapsed="false" customWidth="true" hidden="false" outlineLevel="0" max="31" min="31" style="0" width="15.05"/>
    <col collapsed="false" customWidth="true" hidden="false" outlineLevel="0" max="32" min="32" style="0" width="16.69"/>
    <col collapsed="false" customWidth="true" hidden="false" outlineLevel="0" max="33" min="33" style="0" width="15.71"/>
    <col collapsed="false" customWidth="true" hidden="false" outlineLevel="0" max="34" min="34" style="0" width="14.73"/>
    <col collapsed="false" customWidth="true" hidden="false" outlineLevel="0" max="35" min="35" style="0" width="15.05"/>
    <col collapsed="false" customWidth="true" hidden="false" outlineLevel="0" max="37" min="36" style="0" width="14.4"/>
    <col collapsed="false" customWidth="true" hidden="false" outlineLevel="0" max="38" min="38" style="0" width="14.29"/>
    <col collapsed="false" customWidth="true" hidden="false" outlineLevel="0" max="40" min="40" style="0" width="26.02"/>
    <col collapsed="false" customWidth="true" hidden="false" outlineLevel="0" max="41" min="41" style="0" width="24.21"/>
    <col collapsed="false" customWidth="true" hidden="false" outlineLevel="0" max="42" min="42" style="0" width="20.13"/>
    <col collapsed="false" customWidth="true" hidden="false" outlineLevel="0" max="43" min="43" style="0" width="22.25"/>
    <col collapsed="false" customWidth="true" hidden="false" outlineLevel="0" max="44" min="44" style="0" width="22.09"/>
  </cols>
  <sheetData>
    <row r="1" customFormat="false" ht="23.8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C1" s="0" t="s">
        <v>27</v>
      </c>
      <c r="AD1" s="0" t="s">
        <v>28</v>
      </c>
      <c r="AE1" s="0" t="s">
        <v>29</v>
      </c>
      <c r="AF1" s="0" t="s">
        <v>30</v>
      </c>
      <c r="AG1" s="0" t="s">
        <v>31</v>
      </c>
      <c r="AH1" s="0" t="s">
        <v>32</v>
      </c>
      <c r="AI1" s="0" t="s">
        <v>33</v>
      </c>
      <c r="AJ1" s="0" t="s">
        <v>34</v>
      </c>
      <c r="AK1" s="0" t="s">
        <v>35</v>
      </c>
      <c r="AL1" s="0" t="s">
        <v>36</v>
      </c>
      <c r="AN1" s="1" t="s">
        <v>37</v>
      </c>
      <c r="AO1" s="1" t="s">
        <v>38</v>
      </c>
      <c r="AP1" s="2" t="s">
        <v>39</v>
      </c>
      <c r="AQ1" s="2" t="s">
        <v>40</v>
      </c>
      <c r="AR1" s="2" t="s">
        <v>41</v>
      </c>
    </row>
    <row r="2" customFormat="false" ht="12.8" hidden="false" customHeight="false" outlineLevel="0" collapsed="false">
      <c r="A2" s="3" t="s">
        <v>42</v>
      </c>
      <c r="B2" s="4" t="s">
        <v>43</v>
      </c>
      <c r="C2" s="0" t="s">
        <v>44</v>
      </c>
      <c r="D2" s="0" t="n">
        <v>1</v>
      </c>
      <c r="E2" s="0" t="s">
        <v>44</v>
      </c>
      <c r="F2" s="0" t="n">
        <v>2</v>
      </c>
      <c r="G2" s="0" t="n">
        <v>4</v>
      </c>
      <c r="H2" s="0" t="n">
        <v>1</v>
      </c>
      <c r="I2" s="0" t="n">
        <v>4</v>
      </c>
      <c r="J2" s="0" t="n">
        <v>3</v>
      </c>
      <c r="K2" s="0" t="n">
        <v>3</v>
      </c>
      <c r="L2" s="0" t="n">
        <v>2</v>
      </c>
      <c r="M2" s="0" t="n">
        <v>3</v>
      </c>
      <c r="N2" s="0" t="n">
        <v>2</v>
      </c>
      <c r="O2" s="0" t="n">
        <v>2</v>
      </c>
      <c r="P2" s="0" t="n">
        <v>4</v>
      </c>
      <c r="Q2" s="0" t="n">
        <v>4</v>
      </c>
      <c r="R2" s="0" t="n">
        <v>1</v>
      </c>
      <c r="S2" s="0" t="n">
        <v>5</v>
      </c>
      <c r="T2" s="0" t="n">
        <v>5</v>
      </c>
      <c r="U2" s="0" t="n">
        <v>3</v>
      </c>
      <c r="V2" s="0" t="n">
        <v>4</v>
      </c>
      <c r="W2" s="0" t="n">
        <v>3</v>
      </c>
      <c r="X2" s="0" t="n">
        <v>1</v>
      </c>
      <c r="Y2" s="0" t="n">
        <v>1</v>
      </c>
      <c r="Z2" s="0" t="s">
        <v>45</v>
      </c>
      <c r="AA2" s="0" t="n">
        <v>2000</v>
      </c>
      <c r="AC2" s="0" t="n">
        <f aca="false">6-G2</f>
        <v>2</v>
      </c>
      <c r="AD2" s="0" t="n">
        <f aca="false">6-H2</f>
        <v>5</v>
      </c>
      <c r="AE2" s="0" t="n">
        <f aca="false">6-K2</f>
        <v>3</v>
      </c>
      <c r="AF2" s="0" t="n">
        <f aca="false">6-N2</f>
        <v>4</v>
      </c>
      <c r="AG2" s="0" t="n">
        <f aca="false">6-O2</f>
        <v>4</v>
      </c>
      <c r="AH2" s="0" t="n">
        <f aca="false">6-Q2</f>
        <v>2</v>
      </c>
      <c r="AI2" s="0" t="n">
        <f aca="false">6-R2</f>
        <v>5</v>
      </c>
      <c r="AJ2" s="0" t="n">
        <f aca="false">6-U2</f>
        <v>3</v>
      </c>
      <c r="AK2" s="0" t="n">
        <f aca="false">6-X2</f>
        <v>5</v>
      </c>
      <c r="AL2" s="0" t="n">
        <f aca="false">6-Y2</f>
        <v>5</v>
      </c>
      <c r="AN2" s="0" t="n">
        <f aca="false">AVERAGE(F2,P2,AE2,AJ2)</f>
        <v>3</v>
      </c>
      <c r="AO2" s="0" t="n">
        <f aca="false">AVERAGE(L2,V2,AC2,AH2)</f>
        <v>2.5</v>
      </c>
      <c r="AP2" s="0" t="n">
        <f aca="false">AVERAGE(H2,R2,AG2,AL2)</f>
        <v>2.75</v>
      </c>
      <c r="AQ2" s="0" t="n">
        <f aca="false">AVERAGE(I2,S2,AF2,AK2)</f>
        <v>4.5</v>
      </c>
      <c r="AR2" s="0" t="n">
        <f aca="false">AVERAGE(J2,T2,AG2,AL2)</f>
        <v>4.25</v>
      </c>
    </row>
    <row r="3" customFormat="false" ht="12.8" hidden="false" customHeight="false" outlineLevel="0" collapsed="false">
      <c r="A3" s="3" t="s">
        <v>46</v>
      </c>
      <c r="B3" s="4" t="s">
        <v>47</v>
      </c>
      <c r="C3" s="0" t="s">
        <v>44</v>
      </c>
      <c r="D3" s="0" t="n">
        <v>1</v>
      </c>
      <c r="E3" s="0" t="s">
        <v>44</v>
      </c>
      <c r="F3" s="0" t="n">
        <v>3</v>
      </c>
      <c r="G3" s="0" t="n">
        <v>2</v>
      </c>
      <c r="H3" s="0" t="n">
        <v>2</v>
      </c>
      <c r="I3" s="0" t="n">
        <v>3</v>
      </c>
      <c r="J3" s="0" t="n">
        <v>3</v>
      </c>
      <c r="K3" s="0" t="n">
        <v>3</v>
      </c>
      <c r="L3" s="0" t="n">
        <v>4</v>
      </c>
      <c r="M3" s="0" t="n">
        <v>4</v>
      </c>
      <c r="N3" s="0" t="n">
        <v>4</v>
      </c>
      <c r="O3" s="0" t="n">
        <v>4</v>
      </c>
      <c r="P3" s="0" t="n">
        <v>4</v>
      </c>
      <c r="Q3" s="0" t="n">
        <v>2</v>
      </c>
      <c r="R3" s="0" t="n">
        <v>1</v>
      </c>
      <c r="S3" s="0" t="n">
        <v>2</v>
      </c>
      <c r="T3" s="0" t="n">
        <v>3</v>
      </c>
      <c r="U3" s="0" t="n">
        <v>1</v>
      </c>
      <c r="V3" s="0" t="n">
        <v>3</v>
      </c>
      <c r="W3" s="0" t="n">
        <v>3</v>
      </c>
      <c r="X3" s="0" t="n">
        <v>2</v>
      </c>
      <c r="Y3" s="0" t="n">
        <v>3</v>
      </c>
      <c r="Z3" s="0" t="s">
        <v>48</v>
      </c>
      <c r="AA3" s="0" t="n">
        <v>4100</v>
      </c>
      <c r="AC3" s="0" t="n">
        <f aca="false">6-G3</f>
        <v>4</v>
      </c>
      <c r="AD3" s="0" t="n">
        <f aca="false">6-H3</f>
        <v>4</v>
      </c>
      <c r="AE3" s="0" t="n">
        <f aca="false">6-K3</f>
        <v>3</v>
      </c>
      <c r="AF3" s="0" t="n">
        <f aca="false">6-N3</f>
        <v>2</v>
      </c>
      <c r="AG3" s="0" t="n">
        <f aca="false">6-O3</f>
        <v>2</v>
      </c>
      <c r="AH3" s="0" t="n">
        <f aca="false">6-Q3</f>
        <v>4</v>
      </c>
      <c r="AI3" s="0" t="n">
        <f aca="false">6-R3</f>
        <v>5</v>
      </c>
      <c r="AJ3" s="0" t="n">
        <f aca="false">6-U3</f>
        <v>5</v>
      </c>
      <c r="AK3" s="0" t="n">
        <f aca="false">6-X3</f>
        <v>4</v>
      </c>
      <c r="AL3" s="0" t="n">
        <f aca="false">6-Y3</f>
        <v>3</v>
      </c>
      <c r="AN3" s="0" t="n">
        <f aca="false">AVERAGE(F3,P3,AE3,AJ3)</f>
        <v>3.75</v>
      </c>
      <c r="AO3" s="0" t="n">
        <f aca="false">AVERAGE(L3,V3,AC3,AH3)</f>
        <v>3.75</v>
      </c>
      <c r="AP3" s="0" t="n">
        <f aca="false">AVERAGE(H3,R3,AG3,AL3)</f>
        <v>2</v>
      </c>
      <c r="AQ3" s="0" t="n">
        <f aca="false">AVERAGE(I3,S3,AF3,AK3)</f>
        <v>2.75</v>
      </c>
      <c r="AR3" s="0" t="n">
        <f aca="false">AVERAGE(J3,T3,AG3,AL3)</f>
        <v>2.75</v>
      </c>
    </row>
    <row r="4" customFormat="false" ht="12.8" hidden="false" customHeight="false" outlineLevel="0" collapsed="false">
      <c r="A4" s="3" t="s">
        <v>49</v>
      </c>
      <c r="B4" s="4" t="s">
        <v>50</v>
      </c>
      <c r="C4" s="0" t="s">
        <v>44</v>
      </c>
      <c r="D4" s="0" t="n">
        <v>3</v>
      </c>
      <c r="E4" s="0" t="s">
        <v>44</v>
      </c>
      <c r="F4" s="0" t="n">
        <v>4</v>
      </c>
      <c r="G4" s="0" t="n">
        <v>2</v>
      </c>
      <c r="H4" s="0" t="n">
        <v>3</v>
      </c>
      <c r="I4" s="0" t="n">
        <v>5</v>
      </c>
      <c r="J4" s="0" t="n">
        <v>4</v>
      </c>
      <c r="K4" s="0" t="n">
        <v>3</v>
      </c>
      <c r="L4" s="0" t="n">
        <v>4</v>
      </c>
      <c r="M4" s="0" t="n">
        <v>1</v>
      </c>
      <c r="N4" s="0" t="n">
        <v>2</v>
      </c>
      <c r="O4" s="0" t="n">
        <v>2</v>
      </c>
      <c r="P4" s="0" t="n">
        <v>3</v>
      </c>
      <c r="Q4" s="0" t="n">
        <v>2</v>
      </c>
      <c r="R4" s="0" t="n">
        <v>2</v>
      </c>
      <c r="S4" s="0" t="n">
        <v>3</v>
      </c>
      <c r="T4" s="0" t="n">
        <v>5</v>
      </c>
      <c r="U4" s="0" t="n">
        <v>1</v>
      </c>
      <c r="V4" s="0" t="n">
        <v>4</v>
      </c>
      <c r="W4" s="0" t="n">
        <v>2</v>
      </c>
      <c r="X4" s="0" t="n">
        <v>1</v>
      </c>
      <c r="Y4" s="0" t="n">
        <v>3</v>
      </c>
      <c r="Z4" s="0" t="s">
        <v>45</v>
      </c>
      <c r="AA4" s="0" t="n">
        <v>5600</v>
      </c>
      <c r="AC4" s="0" t="n">
        <f aca="false">6-G4</f>
        <v>4</v>
      </c>
      <c r="AD4" s="0" t="n">
        <f aca="false">6-H4</f>
        <v>3</v>
      </c>
      <c r="AE4" s="0" t="n">
        <f aca="false">6-K4</f>
        <v>3</v>
      </c>
      <c r="AF4" s="0" t="n">
        <f aca="false">6-N4</f>
        <v>4</v>
      </c>
      <c r="AG4" s="0" t="n">
        <f aca="false">6-O4</f>
        <v>4</v>
      </c>
      <c r="AH4" s="0" t="n">
        <f aca="false">6-Q4</f>
        <v>4</v>
      </c>
      <c r="AI4" s="0" t="n">
        <f aca="false">6-R4</f>
        <v>4</v>
      </c>
      <c r="AJ4" s="0" t="n">
        <f aca="false">6-U4</f>
        <v>5</v>
      </c>
      <c r="AK4" s="0" t="n">
        <f aca="false">6-X4</f>
        <v>5</v>
      </c>
      <c r="AL4" s="0" t="n">
        <f aca="false">6-Y4</f>
        <v>3</v>
      </c>
      <c r="AN4" s="0" t="n">
        <f aca="false">AVERAGE(F4,P4,AE4,AJ4)</f>
        <v>3.75</v>
      </c>
      <c r="AO4" s="0" t="n">
        <f aca="false">AVERAGE(L4,V4,AC4,AH4)</f>
        <v>4</v>
      </c>
      <c r="AP4" s="0" t="n">
        <f aca="false">AVERAGE(H4,R4,AG4,AL4)</f>
        <v>3</v>
      </c>
      <c r="AQ4" s="0" t="n">
        <f aca="false">AVERAGE(I4,S4,AF4,AK4)</f>
        <v>4.25</v>
      </c>
      <c r="AR4" s="0" t="n">
        <f aca="false">AVERAGE(J4,T4,AG4,AL4)</f>
        <v>4</v>
      </c>
    </row>
    <row r="5" customFormat="false" ht="12.8" hidden="false" customHeight="false" outlineLevel="0" collapsed="false">
      <c r="A5" s="0" t="s">
        <v>51</v>
      </c>
      <c r="B5" s="4" t="s">
        <v>52</v>
      </c>
      <c r="C5" s="0" t="s">
        <v>44</v>
      </c>
      <c r="D5" s="0" t="n">
        <v>2</v>
      </c>
      <c r="E5" s="0" t="s">
        <v>44</v>
      </c>
      <c r="F5" s="0" t="n">
        <v>3</v>
      </c>
      <c r="G5" s="0" t="n">
        <v>3</v>
      </c>
      <c r="H5" s="0" t="n">
        <v>2</v>
      </c>
      <c r="I5" s="0" t="n">
        <v>2</v>
      </c>
      <c r="J5" s="0" t="n">
        <v>4</v>
      </c>
      <c r="K5" s="0" t="n">
        <v>4</v>
      </c>
      <c r="L5" s="0" t="n">
        <v>5</v>
      </c>
      <c r="M5" s="0" t="n">
        <v>1</v>
      </c>
      <c r="N5" s="0" t="n">
        <v>5</v>
      </c>
      <c r="O5" s="0" t="n">
        <v>2</v>
      </c>
      <c r="P5" s="0" t="n">
        <v>3</v>
      </c>
      <c r="Q5" s="0" t="n">
        <v>3</v>
      </c>
      <c r="R5" s="0" t="n">
        <v>1</v>
      </c>
      <c r="S5" s="0" t="n">
        <v>2</v>
      </c>
      <c r="T5" s="0" t="n">
        <v>3</v>
      </c>
      <c r="U5" s="0" t="n">
        <v>4</v>
      </c>
      <c r="V5" s="0" t="n">
        <v>4</v>
      </c>
      <c r="W5" s="0" t="n">
        <v>2</v>
      </c>
      <c r="X5" s="0" t="n">
        <v>4</v>
      </c>
      <c r="Y5" s="0" t="n">
        <v>1</v>
      </c>
      <c r="Z5" s="0" t="s">
        <v>48</v>
      </c>
      <c r="AA5" s="0" t="n">
        <v>6500</v>
      </c>
      <c r="AC5" s="0" t="n">
        <f aca="false">6-G5</f>
        <v>3</v>
      </c>
      <c r="AD5" s="0" t="n">
        <f aca="false">6-H5</f>
        <v>4</v>
      </c>
      <c r="AE5" s="0" t="n">
        <f aca="false">6-K5</f>
        <v>2</v>
      </c>
      <c r="AF5" s="0" t="n">
        <f aca="false">6-N5</f>
        <v>1</v>
      </c>
      <c r="AG5" s="0" t="n">
        <f aca="false">6-O5</f>
        <v>4</v>
      </c>
      <c r="AH5" s="0" t="n">
        <f aca="false">6-Q5</f>
        <v>3</v>
      </c>
      <c r="AI5" s="0" t="n">
        <f aca="false">6-R5</f>
        <v>5</v>
      </c>
      <c r="AJ5" s="0" t="n">
        <f aca="false">6-U5</f>
        <v>2</v>
      </c>
      <c r="AK5" s="0" t="n">
        <f aca="false">6-X5</f>
        <v>2</v>
      </c>
      <c r="AL5" s="0" t="n">
        <f aca="false">6-Y5</f>
        <v>5</v>
      </c>
      <c r="AN5" s="0" t="n">
        <f aca="false">AVERAGE(F5,P5,AE5,AJ5)</f>
        <v>2.5</v>
      </c>
      <c r="AO5" s="0" t="n">
        <f aca="false">AVERAGE(L5,V5,AC5,AH5)</f>
        <v>3.75</v>
      </c>
      <c r="AP5" s="0" t="n">
        <f aca="false">AVERAGE(H5,R5,AG5,AL5)</f>
        <v>3</v>
      </c>
      <c r="AQ5" s="0" t="n">
        <f aca="false">AVERAGE(I5,S5,AF5,AK5)</f>
        <v>1.75</v>
      </c>
      <c r="AR5" s="0" t="n">
        <f aca="false">AVERAGE(J5,T5,AG5,AL5)</f>
        <v>4</v>
      </c>
    </row>
    <row r="6" customFormat="false" ht="12.8" hidden="false" customHeight="false" outlineLevel="0" collapsed="false">
      <c r="A6" s="3" t="s">
        <v>53</v>
      </c>
      <c r="B6" s="4" t="s">
        <v>54</v>
      </c>
      <c r="C6" s="0" t="s">
        <v>44</v>
      </c>
      <c r="D6" s="0" t="n">
        <v>2</v>
      </c>
      <c r="E6" s="0" t="s">
        <v>44</v>
      </c>
      <c r="F6" s="0" t="n">
        <v>2</v>
      </c>
      <c r="G6" s="0" t="n">
        <v>3</v>
      </c>
      <c r="H6" s="0" t="n">
        <v>1</v>
      </c>
      <c r="I6" s="0" t="n">
        <v>2</v>
      </c>
      <c r="J6" s="0" t="n">
        <v>4</v>
      </c>
      <c r="K6" s="0" t="n">
        <v>4</v>
      </c>
      <c r="L6" s="0" t="n">
        <v>5</v>
      </c>
      <c r="M6" s="0" t="n">
        <v>2</v>
      </c>
      <c r="N6" s="0" t="n">
        <v>5</v>
      </c>
      <c r="O6" s="0" t="n">
        <v>2</v>
      </c>
      <c r="P6" s="0" t="n">
        <v>3</v>
      </c>
      <c r="Q6" s="0" t="n">
        <v>2</v>
      </c>
      <c r="R6" s="0" t="n">
        <v>1</v>
      </c>
      <c r="S6" s="0" t="n">
        <v>2</v>
      </c>
      <c r="T6" s="0" t="n">
        <v>2</v>
      </c>
      <c r="U6" s="0" t="n">
        <v>4</v>
      </c>
      <c r="V6" s="0" t="n">
        <v>4</v>
      </c>
      <c r="W6" s="0" t="n">
        <v>2</v>
      </c>
      <c r="X6" s="0" t="n">
        <v>3</v>
      </c>
      <c r="Y6" s="0" t="n">
        <v>1</v>
      </c>
      <c r="Z6" s="0" t="s">
        <v>48</v>
      </c>
      <c r="AA6" s="0" t="n">
        <v>6500</v>
      </c>
      <c r="AC6" s="0" t="n">
        <f aca="false">6-G6</f>
        <v>3</v>
      </c>
      <c r="AD6" s="0" t="n">
        <f aca="false">6-H6</f>
        <v>5</v>
      </c>
      <c r="AE6" s="0" t="n">
        <f aca="false">6-K6</f>
        <v>2</v>
      </c>
      <c r="AF6" s="0" t="n">
        <f aca="false">6-N6</f>
        <v>1</v>
      </c>
      <c r="AG6" s="0" t="n">
        <f aca="false">6-O6</f>
        <v>4</v>
      </c>
      <c r="AH6" s="0" t="n">
        <f aca="false">6-Q6</f>
        <v>4</v>
      </c>
      <c r="AI6" s="0" t="n">
        <f aca="false">6-R6</f>
        <v>5</v>
      </c>
      <c r="AJ6" s="0" t="n">
        <f aca="false">6-U6</f>
        <v>2</v>
      </c>
      <c r="AK6" s="0" t="n">
        <f aca="false">6-X6</f>
        <v>3</v>
      </c>
      <c r="AL6" s="0" t="n">
        <f aca="false">6-Y6</f>
        <v>5</v>
      </c>
      <c r="AN6" s="0" t="n">
        <f aca="false">AVERAGE(F6,P6,AE6,AJ6)</f>
        <v>2.25</v>
      </c>
      <c r="AO6" s="0" t="n">
        <f aca="false">AVERAGE(L6,V6,AC6,AH6)</f>
        <v>4</v>
      </c>
      <c r="AP6" s="0" t="n">
        <f aca="false">AVERAGE(H6,R6,AG6,AL6)</f>
        <v>2.75</v>
      </c>
      <c r="AQ6" s="0" t="n">
        <f aca="false">AVERAGE(I6,S6,AF6,AK6)</f>
        <v>2</v>
      </c>
      <c r="AR6" s="0" t="n">
        <f aca="false">AVERAGE(J6,T6,AG6,AL6)</f>
        <v>3.75</v>
      </c>
    </row>
    <row r="7" customFormat="false" ht="12.8" hidden="false" customHeight="false" outlineLevel="0" collapsed="false">
      <c r="A7" s="0" t="s">
        <v>55</v>
      </c>
      <c r="B7" s="4" t="s">
        <v>56</v>
      </c>
      <c r="C7" s="0" t="s">
        <v>44</v>
      </c>
      <c r="D7" s="0" t="n">
        <v>1.5</v>
      </c>
      <c r="E7" s="0" t="s">
        <v>44</v>
      </c>
      <c r="F7" s="0" t="n">
        <v>3</v>
      </c>
      <c r="G7" s="0" t="n">
        <v>4</v>
      </c>
      <c r="H7" s="0" t="n">
        <v>4</v>
      </c>
      <c r="I7" s="0" t="n">
        <v>4</v>
      </c>
      <c r="J7" s="0" t="n">
        <v>4</v>
      </c>
      <c r="K7" s="0" t="n">
        <v>3</v>
      </c>
      <c r="L7" s="0" t="n">
        <v>2</v>
      </c>
      <c r="M7" s="0" t="n">
        <v>4</v>
      </c>
      <c r="N7" s="0" t="n">
        <v>3</v>
      </c>
      <c r="O7" s="0" t="n">
        <v>1</v>
      </c>
      <c r="P7" s="0" t="n">
        <v>4</v>
      </c>
      <c r="Q7" s="0" t="n">
        <v>4</v>
      </c>
      <c r="R7" s="0" t="n">
        <v>5</v>
      </c>
      <c r="S7" s="0" t="n">
        <v>3</v>
      </c>
      <c r="T7" s="0" t="n">
        <v>4</v>
      </c>
      <c r="U7" s="0" t="n">
        <v>4</v>
      </c>
      <c r="V7" s="0" t="n">
        <v>3</v>
      </c>
      <c r="W7" s="0" t="n">
        <v>4</v>
      </c>
      <c r="X7" s="0" t="n">
        <v>2</v>
      </c>
      <c r="Y7" s="0" t="n">
        <v>1</v>
      </c>
      <c r="Z7" s="0" t="s">
        <v>48</v>
      </c>
      <c r="AA7" s="0" t="n">
        <v>7000</v>
      </c>
      <c r="AC7" s="0" t="n">
        <f aca="false">6-G7</f>
        <v>2</v>
      </c>
      <c r="AD7" s="0" t="n">
        <f aca="false">6-H7</f>
        <v>2</v>
      </c>
      <c r="AE7" s="0" t="n">
        <f aca="false">6-K7</f>
        <v>3</v>
      </c>
      <c r="AF7" s="0" t="n">
        <f aca="false">6-N7</f>
        <v>3</v>
      </c>
      <c r="AG7" s="0" t="n">
        <f aca="false">6-O7</f>
        <v>5</v>
      </c>
      <c r="AH7" s="0" t="n">
        <f aca="false">6-Q7</f>
        <v>2</v>
      </c>
      <c r="AI7" s="0" t="n">
        <f aca="false">6-R7</f>
        <v>1</v>
      </c>
      <c r="AJ7" s="0" t="n">
        <f aca="false">6-U7</f>
        <v>2</v>
      </c>
      <c r="AK7" s="0" t="n">
        <f aca="false">6-X7</f>
        <v>4</v>
      </c>
      <c r="AL7" s="0" t="n">
        <f aca="false">6-Y7</f>
        <v>5</v>
      </c>
      <c r="AN7" s="0" t="n">
        <f aca="false">AVERAGE(F7,P7,AE7,AJ7)</f>
        <v>3</v>
      </c>
      <c r="AO7" s="0" t="n">
        <f aca="false">AVERAGE(L7,V7,AC7,AH7)</f>
        <v>2.25</v>
      </c>
      <c r="AP7" s="0" t="n">
        <f aca="false">AVERAGE(H7,R7,AG7,AL7)</f>
        <v>4.75</v>
      </c>
      <c r="AQ7" s="0" t="n">
        <f aca="false">AVERAGE(I7,S7,AF7,AK7)</f>
        <v>3.5</v>
      </c>
      <c r="AR7" s="0" t="n">
        <f aca="false">AVERAGE(J7,T7,AG7,AL7)</f>
        <v>4.5</v>
      </c>
    </row>
    <row r="8" customFormat="false" ht="12.8" hidden="false" customHeight="false" outlineLevel="0" collapsed="false">
      <c r="A8" s="3" t="s">
        <v>57</v>
      </c>
      <c r="B8" s="4" t="s">
        <v>58</v>
      </c>
      <c r="C8" s="0" t="s">
        <v>44</v>
      </c>
      <c r="D8" s="0" t="n">
        <v>1</v>
      </c>
      <c r="E8" s="0" t="s">
        <v>44</v>
      </c>
      <c r="F8" s="0" t="n">
        <v>3</v>
      </c>
      <c r="G8" s="0" t="n">
        <v>2</v>
      </c>
      <c r="H8" s="0" t="n">
        <v>1</v>
      </c>
      <c r="I8" s="0" t="n">
        <v>5</v>
      </c>
      <c r="J8" s="0" t="n">
        <v>3</v>
      </c>
      <c r="K8" s="0" t="n">
        <v>4</v>
      </c>
      <c r="L8" s="0" t="n">
        <v>4</v>
      </c>
      <c r="M8" s="0" t="n">
        <v>3</v>
      </c>
      <c r="N8" s="0" t="n">
        <v>4</v>
      </c>
      <c r="O8" s="0" t="n">
        <v>5</v>
      </c>
      <c r="P8" s="0" t="n">
        <v>2</v>
      </c>
      <c r="Q8" s="0" t="n">
        <v>2</v>
      </c>
      <c r="R8" s="0" t="n">
        <v>2</v>
      </c>
      <c r="S8" s="0" t="n">
        <v>2</v>
      </c>
      <c r="T8" s="0" t="n">
        <v>5</v>
      </c>
      <c r="U8" s="0" t="n">
        <v>1</v>
      </c>
      <c r="V8" s="0" t="n">
        <v>4</v>
      </c>
      <c r="W8" s="0" t="n">
        <v>5</v>
      </c>
      <c r="X8" s="0" t="n">
        <v>5</v>
      </c>
      <c r="Y8" s="0" t="n">
        <v>1</v>
      </c>
      <c r="Z8" s="0" t="s">
        <v>48</v>
      </c>
      <c r="AA8" s="0" t="n">
        <v>7000</v>
      </c>
      <c r="AC8" s="0" t="n">
        <f aca="false">6-G8</f>
        <v>4</v>
      </c>
      <c r="AD8" s="0" t="n">
        <f aca="false">6-H8</f>
        <v>5</v>
      </c>
      <c r="AE8" s="0" t="n">
        <f aca="false">6-K8</f>
        <v>2</v>
      </c>
      <c r="AF8" s="0" t="n">
        <f aca="false">6-N8</f>
        <v>2</v>
      </c>
      <c r="AG8" s="0" t="n">
        <f aca="false">6-O8</f>
        <v>1</v>
      </c>
      <c r="AH8" s="0" t="n">
        <f aca="false">6-Q8</f>
        <v>4</v>
      </c>
      <c r="AI8" s="0" t="n">
        <f aca="false">6-R8</f>
        <v>4</v>
      </c>
      <c r="AJ8" s="0" t="n">
        <f aca="false">6-U8</f>
        <v>5</v>
      </c>
      <c r="AK8" s="0" t="n">
        <f aca="false">6-X8</f>
        <v>1</v>
      </c>
      <c r="AL8" s="0" t="n">
        <f aca="false">6-Y8</f>
        <v>5</v>
      </c>
      <c r="AN8" s="0" t="n">
        <f aca="false">AVERAGE(F8,P8,AE8,AJ8)</f>
        <v>3</v>
      </c>
      <c r="AO8" s="0" t="n">
        <f aca="false">AVERAGE(L8,V8,AC8,AH8)</f>
        <v>4</v>
      </c>
      <c r="AP8" s="0" t="n">
        <f aca="false">AVERAGE(H8,R8,AG8,AL8)</f>
        <v>2.25</v>
      </c>
      <c r="AQ8" s="0" t="n">
        <f aca="false">AVERAGE(I8,S8,AF8,AK8)</f>
        <v>2.5</v>
      </c>
      <c r="AR8" s="0" t="n">
        <f aca="false">AVERAGE(J8,T8,AG8,AL8)</f>
        <v>3.5</v>
      </c>
    </row>
    <row r="9" customFormat="false" ht="12.8" hidden="false" customHeight="false" outlineLevel="0" collapsed="false">
      <c r="A9" s="0" t="s">
        <v>59</v>
      </c>
      <c r="B9" s="4" t="s">
        <v>60</v>
      </c>
      <c r="C9" s="0" t="s">
        <v>44</v>
      </c>
      <c r="D9" s="0" t="n">
        <v>4</v>
      </c>
      <c r="E9" s="0" t="s">
        <v>44</v>
      </c>
      <c r="F9" s="0" t="n">
        <v>5</v>
      </c>
      <c r="G9" s="0" t="n">
        <v>5</v>
      </c>
      <c r="H9" s="0" t="n">
        <v>2</v>
      </c>
      <c r="I9" s="0" t="n">
        <v>4</v>
      </c>
      <c r="J9" s="0" t="n">
        <v>5</v>
      </c>
      <c r="K9" s="0" t="n">
        <v>1</v>
      </c>
      <c r="L9" s="0" t="n">
        <v>3</v>
      </c>
      <c r="M9" s="0" t="n">
        <v>4</v>
      </c>
      <c r="N9" s="0" t="n">
        <v>5</v>
      </c>
      <c r="O9" s="0" t="n">
        <v>1</v>
      </c>
      <c r="P9" s="0" t="n">
        <v>5</v>
      </c>
      <c r="Q9" s="0" t="n">
        <v>2</v>
      </c>
      <c r="R9" s="0" t="n">
        <v>1</v>
      </c>
      <c r="S9" s="0" t="n">
        <v>3</v>
      </c>
      <c r="T9" s="0" t="n">
        <v>5</v>
      </c>
      <c r="U9" s="0" t="n">
        <v>1</v>
      </c>
      <c r="V9" s="0" t="n">
        <v>3</v>
      </c>
      <c r="W9" s="0" t="n">
        <v>4</v>
      </c>
      <c r="X9" s="0" t="n">
        <v>1</v>
      </c>
      <c r="Y9" s="0" t="n">
        <v>1</v>
      </c>
      <c r="Z9" s="0" t="s">
        <v>48</v>
      </c>
      <c r="AA9" s="0" t="n">
        <v>8000</v>
      </c>
      <c r="AC9" s="0" t="n">
        <f aca="false">6-G9</f>
        <v>1</v>
      </c>
      <c r="AD9" s="0" t="n">
        <f aca="false">6-H9</f>
        <v>4</v>
      </c>
      <c r="AE9" s="0" t="n">
        <f aca="false">6-K9</f>
        <v>5</v>
      </c>
      <c r="AF9" s="0" t="n">
        <f aca="false">6-N9</f>
        <v>1</v>
      </c>
      <c r="AG9" s="0" t="n">
        <f aca="false">6-O9</f>
        <v>5</v>
      </c>
      <c r="AH9" s="0" t="n">
        <f aca="false">6-Q9</f>
        <v>4</v>
      </c>
      <c r="AI9" s="0" t="n">
        <f aca="false">6-R9</f>
        <v>5</v>
      </c>
      <c r="AJ9" s="0" t="n">
        <f aca="false">6-U9</f>
        <v>5</v>
      </c>
      <c r="AK9" s="0" t="n">
        <f aca="false">6-X9</f>
        <v>5</v>
      </c>
      <c r="AL9" s="0" t="n">
        <f aca="false">6-Y9</f>
        <v>5</v>
      </c>
      <c r="AN9" s="0" t="n">
        <f aca="false">AVERAGE(F9,P9,AE9,AJ9)</f>
        <v>5</v>
      </c>
      <c r="AO9" s="0" t="n">
        <f aca="false">AVERAGE(L9,V9,AC9,AH9)</f>
        <v>2.75</v>
      </c>
      <c r="AP9" s="0" t="n">
        <f aca="false">AVERAGE(H9,R9,AG9,AL9)</f>
        <v>3.25</v>
      </c>
      <c r="AQ9" s="0" t="n">
        <f aca="false">AVERAGE(I9,S9,AF9,AK9)</f>
        <v>3.25</v>
      </c>
      <c r="AR9" s="0" t="n">
        <f aca="false">AVERAGE(J9,T9,AG9,AL9)</f>
        <v>5</v>
      </c>
    </row>
    <row r="10" customFormat="false" ht="12.8" hidden="false" customHeight="false" outlineLevel="0" collapsed="false">
      <c r="A10" s="0" t="s">
        <v>61</v>
      </c>
      <c r="B10" s="4" t="s">
        <v>62</v>
      </c>
      <c r="C10" s="0" t="s">
        <v>44</v>
      </c>
      <c r="D10" s="0" t="n">
        <v>22</v>
      </c>
      <c r="E10" s="0" t="s">
        <v>44</v>
      </c>
      <c r="F10" s="0" t="n">
        <v>5</v>
      </c>
      <c r="G10" s="0" t="n">
        <v>1</v>
      </c>
      <c r="H10" s="0" t="n">
        <v>4</v>
      </c>
      <c r="I10" s="0" t="n">
        <v>3</v>
      </c>
      <c r="J10" s="0" t="n">
        <v>4</v>
      </c>
      <c r="K10" s="0" t="n">
        <v>1</v>
      </c>
      <c r="L10" s="0" t="n">
        <v>5</v>
      </c>
      <c r="M10" s="0" t="n">
        <v>2</v>
      </c>
      <c r="N10" s="0" t="n">
        <v>4</v>
      </c>
      <c r="O10" s="0" t="n">
        <v>3</v>
      </c>
      <c r="P10" s="0" t="n">
        <v>5</v>
      </c>
      <c r="Q10" s="0" t="n">
        <v>1</v>
      </c>
      <c r="R10" s="0" t="n">
        <v>5</v>
      </c>
      <c r="S10" s="0" t="n">
        <v>5</v>
      </c>
      <c r="T10" s="0" t="n">
        <v>5</v>
      </c>
      <c r="U10" s="0" t="n">
        <v>2</v>
      </c>
      <c r="V10" s="0" t="n">
        <v>5</v>
      </c>
      <c r="W10" s="0" t="n">
        <v>4</v>
      </c>
      <c r="X10" s="0" t="n">
        <v>2</v>
      </c>
      <c r="Y10" s="0" t="n">
        <v>1</v>
      </c>
      <c r="Z10" s="0" t="s">
        <v>48</v>
      </c>
      <c r="AA10" s="0" t="n">
        <v>9000</v>
      </c>
      <c r="AC10" s="0" t="n">
        <f aca="false">6-G10</f>
        <v>5</v>
      </c>
      <c r="AD10" s="0" t="n">
        <f aca="false">6-H10</f>
        <v>2</v>
      </c>
      <c r="AE10" s="0" t="n">
        <f aca="false">6-K10</f>
        <v>5</v>
      </c>
      <c r="AF10" s="0" t="n">
        <f aca="false">6-N10</f>
        <v>2</v>
      </c>
      <c r="AG10" s="0" t="n">
        <f aca="false">6-O10</f>
        <v>3</v>
      </c>
      <c r="AH10" s="0" t="n">
        <f aca="false">6-Q10</f>
        <v>5</v>
      </c>
      <c r="AI10" s="0" t="n">
        <f aca="false">6-R10</f>
        <v>1</v>
      </c>
      <c r="AJ10" s="0" t="n">
        <f aca="false">6-U10</f>
        <v>4</v>
      </c>
      <c r="AK10" s="0" t="n">
        <f aca="false">6-X10</f>
        <v>4</v>
      </c>
      <c r="AL10" s="0" t="n">
        <f aca="false">6-Y10</f>
        <v>5</v>
      </c>
      <c r="AN10" s="0" t="n">
        <f aca="false">AVERAGE(F10,P10,AE10,AJ10)</f>
        <v>4.75</v>
      </c>
      <c r="AO10" s="0" t="n">
        <f aca="false">AVERAGE(L10,V10,AC10,AH10)</f>
        <v>5</v>
      </c>
      <c r="AP10" s="0" t="n">
        <f aca="false">AVERAGE(H10,R10,AG10,AL10)</f>
        <v>4.25</v>
      </c>
      <c r="AQ10" s="0" t="n">
        <f aca="false">AVERAGE(I10,S10,AF10,AK10)</f>
        <v>3.5</v>
      </c>
      <c r="AR10" s="0" t="n">
        <f aca="false">AVERAGE(J10,T10,AG10,AL10)</f>
        <v>4.25</v>
      </c>
    </row>
    <row r="11" customFormat="false" ht="12.8" hidden="false" customHeight="false" outlineLevel="0" collapsed="false">
      <c r="A11" s="0" t="s">
        <v>63</v>
      </c>
      <c r="B11" s="4" t="s">
        <v>64</v>
      </c>
      <c r="C11" s="0" t="s">
        <v>44</v>
      </c>
      <c r="D11" s="0" t="n">
        <v>7</v>
      </c>
      <c r="E11" s="0" t="s">
        <v>44</v>
      </c>
      <c r="F11" s="0" t="n">
        <v>3</v>
      </c>
      <c r="G11" s="0" t="n">
        <v>1</v>
      </c>
      <c r="H11" s="0" t="n">
        <v>3</v>
      </c>
      <c r="I11" s="0" t="n">
        <v>2</v>
      </c>
      <c r="J11" s="0" t="n">
        <v>4</v>
      </c>
      <c r="K11" s="0" t="n">
        <v>1</v>
      </c>
      <c r="L11" s="0" t="n">
        <v>4</v>
      </c>
      <c r="M11" s="0" t="n">
        <v>4</v>
      </c>
      <c r="N11" s="0" t="n">
        <v>5</v>
      </c>
      <c r="O11" s="0" t="n">
        <v>3</v>
      </c>
      <c r="P11" s="0" t="n">
        <v>1</v>
      </c>
      <c r="Q11" s="0" t="n">
        <v>1</v>
      </c>
      <c r="R11" s="0" t="n">
        <v>4</v>
      </c>
      <c r="S11" s="0" t="n">
        <v>1</v>
      </c>
      <c r="T11" s="0" t="n">
        <v>5</v>
      </c>
      <c r="U11" s="0" t="n">
        <v>2</v>
      </c>
      <c r="V11" s="0" t="n">
        <v>5</v>
      </c>
      <c r="W11" s="0" t="n">
        <v>4</v>
      </c>
      <c r="X11" s="0" t="n">
        <v>5</v>
      </c>
      <c r="Y11" s="0" t="n">
        <v>1</v>
      </c>
      <c r="Z11" s="0" t="s">
        <v>65</v>
      </c>
      <c r="AA11" s="0" t="n">
        <v>11000</v>
      </c>
      <c r="AC11" s="0" t="n">
        <f aca="false">6-G11</f>
        <v>5</v>
      </c>
      <c r="AD11" s="0" t="n">
        <f aca="false">6-H11</f>
        <v>3</v>
      </c>
      <c r="AE11" s="0" t="n">
        <f aca="false">6-K11</f>
        <v>5</v>
      </c>
      <c r="AF11" s="0" t="n">
        <f aca="false">6-N11</f>
        <v>1</v>
      </c>
      <c r="AG11" s="0" t="n">
        <f aca="false">6-O11</f>
        <v>3</v>
      </c>
      <c r="AH11" s="0" t="n">
        <f aca="false">6-Q11</f>
        <v>5</v>
      </c>
      <c r="AI11" s="0" t="n">
        <f aca="false">6-R11</f>
        <v>2</v>
      </c>
      <c r="AJ11" s="0" t="n">
        <f aca="false">6-U11</f>
        <v>4</v>
      </c>
      <c r="AK11" s="0" t="n">
        <f aca="false">6-X11</f>
        <v>1</v>
      </c>
      <c r="AL11" s="0" t="n">
        <f aca="false">6-Y11</f>
        <v>5</v>
      </c>
      <c r="AN11" s="0" t="n">
        <f aca="false">AVERAGE(F11,P11,AE11,AJ11)</f>
        <v>3.25</v>
      </c>
      <c r="AO11" s="0" t="n">
        <f aca="false">AVERAGE(L11,V11,AC11,AH11)</f>
        <v>4.75</v>
      </c>
      <c r="AP11" s="0" t="n">
        <f aca="false">AVERAGE(H11,R11,AG11,AL11)</f>
        <v>3.75</v>
      </c>
      <c r="AQ11" s="0" t="n">
        <f aca="false">AVERAGE(I11,S11,AF11,AK11)</f>
        <v>1.25</v>
      </c>
      <c r="AR11" s="0" t="n">
        <f aca="false">AVERAGE(J11,T11,AG11,AL11)</f>
        <v>4.25</v>
      </c>
    </row>
    <row r="12" customFormat="false" ht="12.8" hidden="false" customHeight="false" outlineLevel="0" collapsed="false">
      <c r="A12" s="3" t="s">
        <v>66</v>
      </c>
      <c r="B12" s="4" t="s">
        <v>67</v>
      </c>
      <c r="C12" s="0" t="s">
        <v>44</v>
      </c>
      <c r="D12" s="0" t="n">
        <v>4</v>
      </c>
      <c r="E12" s="0" t="s">
        <v>44</v>
      </c>
      <c r="F12" s="0" t="n">
        <v>4</v>
      </c>
      <c r="G12" s="0" t="n">
        <v>2</v>
      </c>
      <c r="H12" s="0" t="n">
        <v>1</v>
      </c>
      <c r="I12" s="0" t="n">
        <v>2</v>
      </c>
      <c r="J12" s="0" t="n">
        <v>4</v>
      </c>
      <c r="K12" s="0" t="n">
        <v>2</v>
      </c>
      <c r="L12" s="0" t="n">
        <v>5</v>
      </c>
      <c r="M12" s="0" t="n">
        <v>4</v>
      </c>
      <c r="N12" s="0" t="n">
        <v>5</v>
      </c>
      <c r="O12" s="0" t="n">
        <v>2</v>
      </c>
      <c r="P12" s="0" t="n">
        <v>3</v>
      </c>
      <c r="Q12" s="0" t="n">
        <v>1</v>
      </c>
      <c r="R12" s="0" t="n">
        <v>1</v>
      </c>
      <c r="S12" s="0" t="n">
        <v>3</v>
      </c>
      <c r="T12" s="0" t="n">
        <v>4</v>
      </c>
      <c r="U12" s="0" t="n">
        <v>2</v>
      </c>
      <c r="V12" s="0" t="n">
        <v>2</v>
      </c>
      <c r="W12" s="0" t="n">
        <v>4</v>
      </c>
      <c r="X12" s="0" t="n">
        <v>2</v>
      </c>
      <c r="Y12" s="0" t="n">
        <v>1</v>
      </c>
      <c r="Z12" s="0" t="s">
        <v>48</v>
      </c>
      <c r="AA12" s="0" t="n">
        <v>11000</v>
      </c>
      <c r="AC12" s="0" t="n">
        <f aca="false">6-G12</f>
        <v>4</v>
      </c>
      <c r="AD12" s="0" t="n">
        <f aca="false">6-H12</f>
        <v>5</v>
      </c>
      <c r="AE12" s="0" t="n">
        <f aca="false">6-K12</f>
        <v>4</v>
      </c>
      <c r="AF12" s="0" t="n">
        <f aca="false">6-N12</f>
        <v>1</v>
      </c>
      <c r="AG12" s="0" t="n">
        <f aca="false">6-O12</f>
        <v>4</v>
      </c>
      <c r="AH12" s="0" t="n">
        <f aca="false">6-Q12</f>
        <v>5</v>
      </c>
      <c r="AI12" s="0" t="n">
        <f aca="false">6-R12</f>
        <v>5</v>
      </c>
      <c r="AJ12" s="0" t="n">
        <f aca="false">6-U12</f>
        <v>4</v>
      </c>
      <c r="AK12" s="0" t="n">
        <f aca="false">6-X12</f>
        <v>4</v>
      </c>
      <c r="AL12" s="0" t="n">
        <f aca="false">6-Y12</f>
        <v>5</v>
      </c>
      <c r="AN12" s="0" t="n">
        <f aca="false">AVERAGE(F12,P12,AE12,AJ12)</f>
        <v>3.75</v>
      </c>
      <c r="AO12" s="0" t="n">
        <f aca="false">AVERAGE(L12,V12,AC12,AH12)</f>
        <v>4</v>
      </c>
      <c r="AP12" s="0" t="n">
        <f aca="false">AVERAGE(H12,R12,AG12,AL12)</f>
        <v>2.75</v>
      </c>
      <c r="AQ12" s="0" t="n">
        <f aca="false">AVERAGE(I12,S12,AF12,AK12)</f>
        <v>2.5</v>
      </c>
      <c r="AR12" s="0" t="n">
        <f aca="false">AVERAGE(J12,T12,AG12,AL12)</f>
        <v>4.25</v>
      </c>
    </row>
    <row r="13" customFormat="false" ht="12.8" hidden="false" customHeight="false" outlineLevel="0" collapsed="false">
      <c r="A13" s="0" t="s">
        <v>68</v>
      </c>
      <c r="B13" s="4" t="s">
        <v>69</v>
      </c>
      <c r="C13" s="0" t="s">
        <v>44</v>
      </c>
      <c r="D13" s="0" t="n">
        <v>5</v>
      </c>
      <c r="E13" s="0" t="s">
        <v>44</v>
      </c>
      <c r="F13" s="0" t="n">
        <v>3</v>
      </c>
      <c r="G13" s="0" t="n">
        <v>4</v>
      </c>
      <c r="H13" s="0" t="n">
        <v>4</v>
      </c>
      <c r="I13" s="0" t="n">
        <v>4</v>
      </c>
      <c r="J13" s="0" t="n">
        <v>4</v>
      </c>
      <c r="K13" s="0" t="n">
        <v>4</v>
      </c>
      <c r="L13" s="0" t="n">
        <v>3</v>
      </c>
      <c r="M13" s="0" t="n">
        <v>2</v>
      </c>
      <c r="N13" s="0" t="n">
        <v>4</v>
      </c>
      <c r="O13" s="0" t="n">
        <v>3</v>
      </c>
      <c r="P13" s="0" t="n">
        <v>2</v>
      </c>
      <c r="Q13" s="0" t="n">
        <v>4</v>
      </c>
      <c r="R13" s="0" t="n">
        <v>2</v>
      </c>
      <c r="S13" s="0" t="n">
        <v>2</v>
      </c>
      <c r="T13" s="0" t="n">
        <v>1</v>
      </c>
      <c r="U13" s="0" t="n">
        <v>5</v>
      </c>
      <c r="V13" s="0" t="n">
        <v>3</v>
      </c>
      <c r="W13" s="0" t="n">
        <v>2</v>
      </c>
      <c r="X13" s="0" t="n">
        <v>2</v>
      </c>
      <c r="Y13" s="0" t="n">
        <v>3</v>
      </c>
      <c r="Z13" s="0" t="s">
        <v>48</v>
      </c>
      <c r="AA13" s="0" t="n">
        <v>12000</v>
      </c>
      <c r="AC13" s="0" t="n">
        <f aca="false">6-G13</f>
        <v>2</v>
      </c>
      <c r="AD13" s="0" t="n">
        <f aca="false">6-H13</f>
        <v>2</v>
      </c>
      <c r="AE13" s="0" t="n">
        <f aca="false">6-K13</f>
        <v>2</v>
      </c>
      <c r="AF13" s="0" t="n">
        <f aca="false">6-N13</f>
        <v>2</v>
      </c>
      <c r="AG13" s="0" t="n">
        <f aca="false">6-O13</f>
        <v>3</v>
      </c>
      <c r="AH13" s="0" t="n">
        <f aca="false">6-Q13</f>
        <v>2</v>
      </c>
      <c r="AI13" s="0" t="n">
        <f aca="false">6-R13</f>
        <v>4</v>
      </c>
      <c r="AJ13" s="0" t="n">
        <f aca="false">6-U13</f>
        <v>1</v>
      </c>
      <c r="AK13" s="0" t="n">
        <f aca="false">6-X13</f>
        <v>4</v>
      </c>
      <c r="AL13" s="0" t="n">
        <f aca="false">6-Y13</f>
        <v>3</v>
      </c>
      <c r="AN13" s="0" t="n">
        <f aca="false">AVERAGE(F13,P13,AE13,AJ13)</f>
        <v>2</v>
      </c>
      <c r="AO13" s="0" t="n">
        <f aca="false">AVERAGE(L13,V13,AC13,AH13)</f>
        <v>2.5</v>
      </c>
      <c r="AP13" s="0" t="n">
        <f aca="false">AVERAGE(H13,R13,AG13,AL13)</f>
        <v>3</v>
      </c>
      <c r="AQ13" s="0" t="n">
        <f aca="false">AVERAGE(I13,S13,AF13,AK13)</f>
        <v>3</v>
      </c>
      <c r="AR13" s="0" t="n">
        <f aca="false">AVERAGE(J13,T13,AG13,AL13)</f>
        <v>2.75</v>
      </c>
    </row>
    <row r="14" customFormat="false" ht="12.8" hidden="false" customHeight="false" outlineLevel="0" collapsed="false">
      <c r="A14" s="0" t="s">
        <v>70</v>
      </c>
      <c r="B14" s="4" t="s">
        <v>71</v>
      </c>
      <c r="C14" s="0" t="s">
        <v>44</v>
      </c>
      <c r="D14" s="0" t="n">
        <v>5</v>
      </c>
      <c r="E14" s="0" t="s">
        <v>44</v>
      </c>
      <c r="F14" s="0" t="n">
        <v>3</v>
      </c>
      <c r="G14" s="0" t="n">
        <v>4</v>
      </c>
      <c r="H14" s="0" t="n">
        <v>1</v>
      </c>
      <c r="I14" s="0" t="n">
        <v>4</v>
      </c>
      <c r="J14" s="0" t="n">
        <v>3</v>
      </c>
      <c r="K14" s="0" t="n">
        <v>5</v>
      </c>
      <c r="L14" s="0" t="n">
        <v>4</v>
      </c>
      <c r="M14" s="0" t="n">
        <v>4</v>
      </c>
      <c r="N14" s="0" t="n">
        <v>3</v>
      </c>
      <c r="O14" s="0" t="n">
        <v>1</v>
      </c>
      <c r="P14" s="0" t="n">
        <v>3</v>
      </c>
      <c r="Q14" s="0" t="n">
        <v>2</v>
      </c>
      <c r="R14" s="0" t="n">
        <v>2</v>
      </c>
      <c r="S14" s="0" t="n">
        <v>1</v>
      </c>
      <c r="T14" s="0" t="n">
        <v>3</v>
      </c>
      <c r="U14" s="0" t="n">
        <v>4</v>
      </c>
      <c r="V14" s="0" t="n">
        <v>2</v>
      </c>
      <c r="W14" s="0" t="n">
        <v>4</v>
      </c>
      <c r="X14" s="0" t="n">
        <v>1</v>
      </c>
      <c r="Y14" s="0" t="n">
        <v>2</v>
      </c>
      <c r="Z14" s="0" t="s">
        <v>65</v>
      </c>
      <c r="AA14" s="0" t="n">
        <v>13000</v>
      </c>
      <c r="AC14" s="0" t="n">
        <f aca="false">6-G14</f>
        <v>2</v>
      </c>
      <c r="AD14" s="0" t="n">
        <f aca="false">6-H14</f>
        <v>5</v>
      </c>
      <c r="AE14" s="0" t="n">
        <f aca="false">6-K14</f>
        <v>1</v>
      </c>
      <c r="AF14" s="0" t="n">
        <f aca="false">6-N14</f>
        <v>3</v>
      </c>
      <c r="AG14" s="0" t="n">
        <f aca="false">6-O14</f>
        <v>5</v>
      </c>
      <c r="AH14" s="0" t="n">
        <f aca="false">6-Q14</f>
        <v>4</v>
      </c>
      <c r="AI14" s="0" t="n">
        <f aca="false">6-R14</f>
        <v>4</v>
      </c>
      <c r="AJ14" s="0" t="n">
        <f aca="false">6-U14</f>
        <v>2</v>
      </c>
      <c r="AK14" s="0" t="n">
        <f aca="false">6-X14</f>
        <v>5</v>
      </c>
      <c r="AL14" s="0" t="n">
        <f aca="false">6-Y14</f>
        <v>4</v>
      </c>
      <c r="AN14" s="0" t="n">
        <f aca="false">AVERAGE(F14,P14,AE14,AJ14)</f>
        <v>2.25</v>
      </c>
      <c r="AO14" s="0" t="n">
        <f aca="false">AVERAGE(L14,V14,AC14,AH14)</f>
        <v>3</v>
      </c>
      <c r="AP14" s="0" t="n">
        <f aca="false">AVERAGE(H14,R14,AG14,AL14)</f>
        <v>3</v>
      </c>
      <c r="AQ14" s="0" t="n">
        <f aca="false">AVERAGE(I14,S14,AF14,AK14)</f>
        <v>3.25</v>
      </c>
      <c r="AR14" s="0" t="n">
        <f aca="false">AVERAGE(J14,T14,AG14,AL14)</f>
        <v>3.75</v>
      </c>
    </row>
    <row r="15" customFormat="false" ht="12.8" hidden="false" customHeight="false" outlineLevel="0" collapsed="false">
      <c r="A15" s="0" t="s">
        <v>72</v>
      </c>
      <c r="B15" s="4" t="s">
        <v>73</v>
      </c>
      <c r="C15" s="0" t="s">
        <v>44</v>
      </c>
      <c r="D15" s="0" t="n">
        <v>6</v>
      </c>
      <c r="E15" s="0" t="s">
        <v>44</v>
      </c>
      <c r="F15" s="0" t="n">
        <v>4</v>
      </c>
      <c r="G15" s="0" t="n">
        <v>1</v>
      </c>
      <c r="H15" s="0" t="n">
        <v>4</v>
      </c>
      <c r="I15" s="0" t="n">
        <v>1</v>
      </c>
      <c r="J15" s="0" t="n">
        <v>3</v>
      </c>
      <c r="K15" s="0" t="n">
        <v>3</v>
      </c>
      <c r="L15" s="0" t="n">
        <v>5</v>
      </c>
      <c r="M15" s="0" t="n">
        <v>2</v>
      </c>
      <c r="N15" s="0" t="n">
        <v>4</v>
      </c>
      <c r="O15" s="0" t="n">
        <v>2</v>
      </c>
      <c r="P15" s="0" t="n">
        <v>5</v>
      </c>
      <c r="Q15" s="0" t="n">
        <v>2</v>
      </c>
      <c r="R15" s="0" t="n">
        <v>4</v>
      </c>
      <c r="S15" s="0" t="n">
        <v>3</v>
      </c>
      <c r="T15" s="0" t="n">
        <v>4</v>
      </c>
      <c r="U15" s="0" t="n">
        <v>2</v>
      </c>
      <c r="V15" s="0" t="n">
        <v>4</v>
      </c>
      <c r="W15" s="0" t="n">
        <v>3</v>
      </c>
      <c r="X15" s="0" t="n">
        <v>4</v>
      </c>
      <c r="Y15" s="0" t="n">
        <v>2</v>
      </c>
      <c r="Z15" s="0" t="s">
        <v>65</v>
      </c>
      <c r="AA15" s="0" t="n">
        <v>13500</v>
      </c>
      <c r="AC15" s="0" t="n">
        <f aca="false">6-G15</f>
        <v>5</v>
      </c>
      <c r="AD15" s="0" t="n">
        <f aca="false">6-H15</f>
        <v>2</v>
      </c>
      <c r="AE15" s="0" t="n">
        <f aca="false">6-K15</f>
        <v>3</v>
      </c>
      <c r="AF15" s="0" t="n">
        <f aca="false">6-N15</f>
        <v>2</v>
      </c>
      <c r="AG15" s="0" t="n">
        <f aca="false">6-O15</f>
        <v>4</v>
      </c>
      <c r="AH15" s="0" t="n">
        <f aca="false">6-Q15</f>
        <v>4</v>
      </c>
      <c r="AI15" s="0" t="n">
        <f aca="false">6-R15</f>
        <v>2</v>
      </c>
      <c r="AJ15" s="0" t="n">
        <f aca="false">6-U15</f>
        <v>4</v>
      </c>
      <c r="AK15" s="0" t="n">
        <f aca="false">6-X15</f>
        <v>2</v>
      </c>
      <c r="AL15" s="0" t="n">
        <f aca="false">6-Y15</f>
        <v>4</v>
      </c>
      <c r="AN15" s="0" t="n">
        <f aca="false">AVERAGE(F15,P15,AE15,AJ15)</f>
        <v>4</v>
      </c>
      <c r="AO15" s="0" t="n">
        <f aca="false">AVERAGE(L15,V15,AC15,AH15)</f>
        <v>4.5</v>
      </c>
      <c r="AP15" s="0" t="n">
        <f aca="false">AVERAGE(H15,R15,AG15,AL15)</f>
        <v>4</v>
      </c>
      <c r="AQ15" s="0" t="n">
        <f aca="false">AVERAGE(I15,S15,AF15,AK15)</f>
        <v>2</v>
      </c>
      <c r="AR15" s="0" t="n">
        <f aca="false">AVERAGE(J15,T15,AG15,AL15)</f>
        <v>3.75</v>
      </c>
    </row>
    <row r="16" customFormat="false" ht="12.8" hidden="false" customHeight="false" outlineLevel="0" collapsed="false">
      <c r="A16" s="0" t="s">
        <v>74</v>
      </c>
      <c r="B16" s="4" t="s">
        <v>75</v>
      </c>
      <c r="C16" s="0" t="s">
        <v>44</v>
      </c>
      <c r="D16" s="0" t="n">
        <v>9</v>
      </c>
      <c r="E16" s="0" t="s">
        <v>44</v>
      </c>
      <c r="F16" s="0" t="n">
        <v>3</v>
      </c>
      <c r="G16" s="0" t="n">
        <v>2</v>
      </c>
      <c r="H16" s="0" t="n">
        <v>4</v>
      </c>
      <c r="I16" s="0" t="n">
        <v>2</v>
      </c>
      <c r="J16" s="0" t="n">
        <v>3</v>
      </c>
      <c r="K16" s="0" t="n">
        <v>4</v>
      </c>
      <c r="L16" s="0" t="n">
        <v>4</v>
      </c>
      <c r="M16" s="0" t="n">
        <v>1</v>
      </c>
      <c r="N16" s="0" t="n">
        <v>5</v>
      </c>
      <c r="O16" s="0" t="n">
        <v>1</v>
      </c>
      <c r="P16" s="0" t="n">
        <v>4</v>
      </c>
      <c r="Q16" s="0" t="n">
        <v>2</v>
      </c>
      <c r="R16" s="0" t="n">
        <v>5</v>
      </c>
      <c r="S16" s="0" t="n">
        <v>2</v>
      </c>
      <c r="T16" s="0" t="n">
        <v>3</v>
      </c>
      <c r="U16" s="0" t="n">
        <v>4</v>
      </c>
      <c r="V16" s="0" t="n">
        <v>4</v>
      </c>
      <c r="W16" s="0" t="n">
        <v>3</v>
      </c>
      <c r="X16" s="0" t="n">
        <v>4</v>
      </c>
      <c r="Y16" s="0" t="n">
        <v>5</v>
      </c>
      <c r="Z16" s="0" t="s">
        <v>48</v>
      </c>
      <c r="AA16" s="0" t="n">
        <v>13500</v>
      </c>
      <c r="AC16" s="0" t="n">
        <f aca="false">6-G16</f>
        <v>4</v>
      </c>
      <c r="AD16" s="0" t="n">
        <f aca="false">6-H16</f>
        <v>2</v>
      </c>
      <c r="AE16" s="0" t="n">
        <f aca="false">6-K16</f>
        <v>2</v>
      </c>
      <c r="AF16" s="0" t="n">
        <f aca="false">6-N16</f>
        <v>1</v>
      </c>
      <c r="AG16" s="0" t="n">
        <f aca="false">6-O16</f>
        <v>5</v>
      </c>
      <c r="AH16" s="0" t="n">
        <f aca="false">6-Q16</f>
        <v>4</v>
      </c>
      <c r="AI16" s="0" t="n">
        <f aca="false">6-R16</f>
        <v>1</v>
      </c>
      <c r="AJ16" s="0" t="n">
        <f aca="false">6-U16</f>
        <v>2</v>
      </c>
      <c r="AK16" s="0" t="n">
        <f aca="false">6-X16</f>
        <v>2</v>
      </c>
      <c r="AL16" s="0" t="n">
        <f aca="false">6-Y16</f>
        <v>1</v>
      </c>
      <c r="AN16" s="0" t="n">
        <f aca="false">AVERAGE(F16,P16,AE16,AJ16)</f>
        <v>2.75</v>
      </c>
      <c r="AO16" s="0" t="n">
        <f aca="false">AVERAGE(L16,V16,AC16,AH16)</f>
        <v>4</v>
      </c>
      <c r="AP16" s="0" t="n">
        <f aca="false">AVERAGE(H16,R16,AG16,AL16)</f>
        <v>3.75</v>
      </c>
      <c r="AQ16" s="0" t="n">
        <f aca="false">AVERAGE(I16,S16,AF16,AK16)</f>
        <v>1.75</v>
      </c>
      <c r="AR16" s="0" t="n">
        <f aca="false">AVERAGE(J16,T16,AG16,AL16)</f>
        <v>3</v>
      </c>
    </row>
    <row r="17" customFormat="false" ht="12.8" hidden="false" customHeight="false" outlineLevel="0" collapsed="false">
      <c r="A17" s="0" t="s">
        <v>76</v>
      </c>
      <c r="B17" s="4" t="s">
        <v>77</v>
      </c>
      <c r="C17" s="0" t="s">
        <v>44</v>
      </c>
      <c r="D17" s="0" t="n">
        <v>8</v>
      </c>
      <c r="E17" s="0" t="s">
        <v>44</v>
      </c>
      <c r="F17" s="0" t="n">
        <v>1</v>
      </c>
      <c r="G17" s="0" t="n">
        <v>3</v>
      </c>
      <c r="H17" s="0" t="n">
        <v>2</v>
      </c>
      <c r="I17" s="0" t="n">
        <v>1</v>
      </c>
      <c r="J17" s="0" t="n">
        <v>5</v>
      </c>
      <c r="K17" s="0" t="n">
        <v>5</v>
      </c>
      <c r="L17" s="0" t="n">
        <v>4</v>
      </c>
      <c r="M17" s="0" t="n">
        <v>2</v>
      </c>
      <c r="N17" s="0" t="n">
        <v>5</v>
      </c>
      <c r="O17" s="0" t="n">
        <v>1</v>
      </c>
      <c r="P17" s="0" t="n">
        <v>1</v>
      </c>
      <c r="Q17" s="0" t="n">
        <v>3</v>
      </c>
      <c r="R17" s="0" t="n">
        <v>3</v>
      </c>
      <c r="S17" s="0" t="n">
        <v>1</v>
      </c>
      <c r="T17" s="0" t="n">
        <v>3</v>
      </c>
      <c r="U17" s="0" t="n">
        <v>5</v>
      </c>
      <c r="V17" s="0" t="n">
        <v>3</v>
      </c>
      <c r="W17" s="0" t="n">
        <v>3</v>
      </c>
      <c r="X17" s="0" t="n">
        <v>4</v>
      </c>
      <c r="Y17" s="0" t="n">
        <v>2</v>
      </c>
      <c r="Z17" s="0" t="s">
        <v>48</v>
      </c>
      <c r="AA17" s="0" t="n">
        <v>14000</v>
      </c>
      <c r="AC17" s="0" t="n">
        <f aca="false">6-G17</f>
        <v>3</v>
      </c>
      <c r="AD17" s="0" t="n">
        <f aca="false">6-H17</f>
        <v>4</v>
      </c>
      <c r="AE17" s="0" t="n">
        <f aca="false">6-K17</f>
        <v>1</v>
      </c>
      <c r="AF17" s="0" t="n">
        <f aca="false">6-N17</f>
        <v>1</v>
      </c>
      <c r="AG17" s="0" t="n">
        <f aca="false">6-O17</f>
        <v>5</v>
      </c>
      <c r="AH17" s="0" t="n">
        <f aca="false">6-Q17</f>
        <v>3</v>
      </c>
      <c r="AI17" s="0" t="n">
        <f aca="false">6-R17</f>
        <v>3</v>
      </c>
      <c r="AJ17" s="0" t="n">
        <f aca="false">6-U17</f>
        <v>1</v>
      </c>
      <c r="AK17" s="0" t="n">
        <f aca="false">6-X17</f>
        <v>2</v>
      </c>
      <c r="AL17" s="0" t="n">
        <f aca="false">6-Y17</f>
        <v>4</v>
      </c>
      <c r="AN17" s="0" t="n">
        <f aca="false">AVERAGE(F17,P17,AE17,AJ17)</f>
        <v>1</v>
      </c>
      <c r="AO17" s="0" t="n">
        <f aca="false">AVERAGE(L17,V17,AC17,AH17)</f>
        <v>3.25</v>
      </c>
      <c r="AP17" s="0" t="n">
        <f aca="false">AVERAGE(H17,R17,AG17,AL17)</f>
        <v>3.5</v>
      </c>
      <c r="AQ17" s="0" t="n">
        <f aca="false">AVERAGE(I17,S17,AF17,AK17)</f>
        <v>1.25</v>
      </c>
      <c r="AR17" s="0" t="n">
        <f aca="false">AVERAGE(J17,T17,AG17,AL17)</f>
        <v>4.25</v>
      </c>
    </row>
    <row r="18" customFormat="false" ht="12.8" hidden="false" customHeight="false" outlineLevel="0" collapsed="false">
      <c r="A18" s="0" t="s">
        <v>78</v>
      </c>
      <c r="B18" s="4" t="s">
        <v>79</v>
      </c>
      <c r="C18" s="0" t="s">
        <v>44</v>
      </c>
      <c r="D18" s="0" t="n">
        <v>8</v>
      </c>
      <c r="E18" s="0" t="s">
        <v>44</v>
      </c>
      <c r="F18" s="0" t="n">
        <v>3</v>
      </c>
      <c r="G18" s="0" t="n">
        <v>2</v>
      </c>
      <c r="H18" s="0" t="n">
        <v>2</v>
      </c>
      <c r="I18" s="0" t="n">
        <v>4</v>
      </c>
      <c r="J18" s="0" t="n">
        <v>4</v>
      </c>
      <c r="K18" s="0" t="n">
        <v>3</v>
      </c>
      <c r="L18" s="0" t="n">
        <v>4</v>
      </c>
      <c r="M18" s="0" t="n">
        <v>2</v>
      </c>
      <c r="N18" s="0" t="n">
        <v>2</v>
      </c>
      <c r="O18" s="0" t="n">
        <v>1</v>
      </c>
      <c r="P18" s="0" t="n">
        <v>2</v>
      </c>
      <c r="Q18" s="0" t="n">
        <v>2</v>
      </c>
      <c r="R18" s="0" t="n">
        <v>2</v>
      </c>
      <c r="S18" s="0" t="n">
        <v>3</v>
      </c>
      <c r="T18" s="0" t="n">
        <v>4</v>
      </c>
      <c r="U18" s="0" t="n">
        <v>3</v>
      </c>
      <c r="V18" s="0" t="n">
        <v>3</v>
      </c>
      <c r="W18" s="0" t="n">
        <v>4</v>
      </c>
      <c r="X18" s="0" t="n">
        <v>1</v>
      </c>
      <c r="Y18" s="0" t="n">
        <v>1</v>
      </c>
      <c r="Z18" s="0" t="s">
        <v>65</v>
      </c>
      <c r="AA18" s="0" t="n">
        <v>14000</v>
      </c>
      <c r="AC18" s="0" t="n">
        <f aca="false">6-G18</f>
        <v>4</v>
      </c>
      <c r="AD18" s="0" t="n">
        <f aca="false">6-H18</f>
        <v>4</v>
      </c>
      <c r="AE18" s="0" t="n">
        <f aca="false">6-K18</f>
        <v>3</v>
      </c>
      <c r="AF18" s="0" t="n">
        <f aca="false">6-N18</f>
        <v>4</v>
      </c>
      <c r="AG18" s="0" t="n">
        <f aca="false">6-O18</f>
        <v>5</v>
      </c>
      <c r="AH18" s="0" t="n">
        <f aca="false">6-Q18</f>
        <v>4</v>
      </c>
      <c r="AI18" s="0" t="n">
        <f aca="false">6-R18</f>
        <v>4</v>
      </c>
      <c r="AJ18" s="0" t="n">
        <f aca="false">6-U18</f>
        <v>3</v>
      </c>
      <c r="AK18" s="0" t="n">
        <f aca="false">6-X18</f>
        <v>5</v>
      </c>
      <c r="AL18" s="0" t="n">
        <f aca="false">6-Y18</f>
        <v>5</v>
      </c>
      <c r="AN18" s="0" t="n">
        <f aca="false">AVERAGE(F18,P18,AE18,AJ18)</f>
        <v>2.75</v>
      </c>
      <c r="AO18" s="0" t="n">
        <f aca="false">AVERAGE(L18,V18,AC18,AH18)</f>
        <v>3.75</v>
      </c>
      <c r="AP18" s="0" t="n">
        <f aca="false">AVERAGE(H18,R18,AG18,AL18)</f>
        <v>3.5</v>
      </c>
      <c r="AQ18" s="0" t="n">
        <f aca="false">AVERAGE(I18,S18,AF18,AK18)</f>
        <v>4</v>
      </c>
      <c r="AR18" s="0" t="n">
        <f aca="false">AVERAGE(J18,T18,AG18,AL18)</f>
        <v>4.5</v>
      </c>
    </row>
    <row r="19" customFormat="false" ht="12.8" hidden="false" customHeight="false" outlineLevel="0" collapsed="false">
      <c r="A19" s="0" t="s">
        <v>80</v>
      </c>
      <c r="B19" s="4" t="s">
        <v>81</v>
      </c>
      <c r="C19" s="0" t="s">
        <v>44</v>
      </c>
      <c r="D19" s="0" t="n">
        <v>14</v>
      </c>
      <c r="E19" s="0" t="s">
        <v>44</v>
      </c>
      <c r="F19" s="0" t="n">
        <v>3</v>
      </c>
      <c r="G19" s="0" t="n">
        <v>2</v>
      </c>
      <c r="H19" s="0" t="n">
        <v>4</v>
      </c>
      <c r="I19" s="0" t="n">
        <v>2</v>
      </c>
      <c r="J19" s="0" t="n">
        <v>5</v>
      </c>
      <c r="K19" s="0" t="n">
        <v>4</v>
      </c>
      <c r="L19" s="0" t="n">
        <v>4</v>
      </c>
      <c r="M19" s="0" t="n">
        <v>2</v>
      </c>
      <c r="N19" s="0" t="n">
        <v>3</v>
      </c>
      <c r="O19" s="0" t="n">
        <v>2</v>
      </c>
      <c r="P19" s="0" t="n">
        <v>3</v>
      </c>
      <c r="Q19" s="0" t="n">
        <v>2</v>
      </c>
      <c r="R19" s="0" t="n">
        <v>4</v>
      </c>
      <c r="S19" s="0" t="n">
        <v>1</v>
      </c>
      <c r="T19" s="0" t="n">
        <v>4</v>
      </c>
      <c r="U19" s="0" t="n">
        <v>4</v>
      </c>
      <c r="V19" s="0" t="n">
        <v>4</v>
      </c>
      <c r="W19" s="0" t="n">
        <v>3</v>
      </c>
      <c r="X19" s="0" t="n">
        <v>3</v>
      </c>
      <c r="Y19" s="0" t="n">
        <v>2</v>
      </c>
      <c r="Z19" s="0" t="s">
        <v>65</v>
      </c>
      <c r="AA19" s="0" t="n">
        <v>15000</v>
      </c>
      <c r="AC19" s="0" t="n">
        <f aca="false">6-G19</f>
        <v>4</v>
      </c>
      <c r="AD19" s="0" t="n">
        <f aca="false">6-H19</f>
        <v>2</v>
      </c>
      <c r="AE19" s="0" t="n">
        <f aca="false">6-K19</f>
        <v>2</v>
      </c>
      <c r="AF19" s="0" t="n">
        <f aca="false">6-N19</f>
        <v>3</v>
      </c>
      <c r="AG19" s="0" t="n">
        <f aca="false">6-O19</f>
        <v>4</v>
      </c>
      <c r="AH19" s="0" t="n">
        <f aca="false">6-Q19</f>
        <v>4</v>
      </c>
      <c r="AI19" s="0" t="n">
        <f aca="false">6-R19</f>
        <v>2</v>
      </c>
      <c r="AJ19" s="0" t="n">
        <f aca="false">6-U19</f>
        <v>2</v>
      </c>
      <c r="AK19" s="0" t="n">
        <f aca="false">6-X19</f>
        <v>3</v>
      </c>
      <c r="AL19" s="0" t="n">
        <f aca="false">6-Y19</f>
        <v>4</v>
      </c>
      <c r="AN19" s="0" t="n">
        <f aca="false">AVERAGE(F19,P19,AE19,AJ19)</f>
        <v>2.5</v>
      </c>
      <c r="AO19" s="0" t="n">
        <f aca="false">AVERAGE(L19,V19,AC19,AH19)</f>
        <v>4</v>
      </c>
      <c r="AP19" s="0" t="n">
        <f aca="false">AVERAGE(H19,R19,AG19,AL19)</f>
        <v>4</v>
      </c>
      <c r="AQ19" s="0" t="n">
        <f aca="false">AVERAGE(I19,S19,AF19,AK19)</f>
        <v>2.25</v>
      </c>
      <c r="AR19" s="0" t="n">
        <f aca="false">AVERAGE(J19,T19,AG19,AL19)</f>
        <v>4.25</v>
      </c>
    </row>
    <row r="20" customFormat="false" ht="12.8" hidden="false" customHeight="false" outlineLevel="0" collapsed="false">
      <c r="A20" s="0" t="s">
        <v>82</v>
      </c>
      <c r="B20" s="4" t="s">
        <v>83</v>
      </c>
      <c r="C20" s="0" t="s">
        <v>44</v>
      </c>
      <c r="D20" s="0" t="n">
        <v>5</v>
      </c>
      <c r="E20" s="0" t="s">
        <v>44</v>
      </c>
      <c r="F20" s="0" t="n">
        <v>3</v>
      </c>
      <c r="G20" s="0" t="n">
        <v>2</v>
      </c>
      <c r="H20" s="0" t="n">
        <v>4</v>
      </c>
      <c r="I20" s="0" t="n">
        <v>4</v>
      </c>
      <c r="J20" s="0" t="n">
        <v>2</v>
      </c>
      <c r="K20" s="0" t="n">
        <v>5</v>
      </c>
      <c r="L20" s="0" t="n">
        <v>3</v>
      </c>
      <c r="M20" s="0" t="n">
        <v>2</v>
      </c>
      <c r="N20" s="0" t="n">
        <v>2</v>
      </c>
      <c r="O20" s="0" t="n">
        <v>2</v>
      </c>
      <c r="P20" s="0" t="n">
        <v>2</v>
      </c>
      <c r="Q20" s="0" t="n">
        <v>4</v>
      </c>
      <c r="R20" s="0" t="n">
        <v>2</v>
      </c>
      <c r="S20" s="0" t="n">
        <v>3</v>
      </c>
      <c r="T20" s="0" t="n">
        <v>2</v>
      </c>
      <c r="U20" s="0" t="n">
        <v>5</v>
      </c>
      <c r="V20" s="0" t="n">
        <v>3</v>
      </c>
      <c r="W20" s="0" t="n">
        <v>3</v>
      </c>
      <c r="X20" s="0" t="n">
        <v>1</v>
      </c>
      <c r="Y20" s="0" t="n">
        <v>4</v>
      </c>
      <c r="Z20" s="0" t="s">
        <v>65</v>
      </c>
      <c r="AA20" s="0" t="n">
        <v>15000</v>
      </c>
      <c r="AC20" s="0" t="n">
        <f aca="false">6-G20</f>
        <v>4</v>
      </c>
      <c r="AD20" s="0" t="n">
        <f aca="false">6-H20</f>
        <v>2</v>
      </c>
      <c r="AE20" s="0" t="n">
        <f aca="false">6-K20</f>
        <v>1</v>
      </c>
      <c r="AF20" s="0" t="n">
        <f aca="false">6-N20</f>
        <v>4</v>
      </c>
      <c r="AG20" s="0" t="n">
        <f aca="false">6-O20</f>
        <v>4</v>
      </c>
      <c r="AH20" s="0" t="n">
        <f aca="false">6-Q20</f>
        <v>2</v>
      </c>
      <c r="AI20" s="0" t="n">
        <f aca="false">6-R20</f>
        <v>4</v>
      </c>
      <c r="AJ20" s="0" t="n">
        <f aca="false">6-U20</f>
        <v>1</v>
      </c>
      <c r="AK20" s="0" t="n">
        <f aca="false">6-X20</f>
        <v>5</v>
      </c>
      <c r="AL20" s="0" t="n">
        <f aca="false">6-Y20</f>
        <v>2</v>
      </c>
      <c r="AN20" s="0" t="n">
        <f aca="false">AVERAGE(F20,P20,AE20,AJ20)</f>
        <v>1.75</v>
      </c>
      <c r="AO20" s="0" t="n">
        <f aca="false">AVERAGE(L20,V20,AC20,AH20)</f>
        <v>3</v>
      </c>
      <c r="AP20" s="0" t="n">
        <f aca="false">AVERAGE(H20,R20,AG20,AL20)</f>
        <v>3</v>
      </c>
      <c r="AQ20" s="0" t="n">
        <f aca="false">AVERAGE(I20,S20,AF20,AK20)</f>
        <v>4</v>
      </c>
      <c r="AR20" s="0" t="n">
        <f aca="false">AVERAGE(J20,T20,AG20,AL20)</f>
        <v>2.5</v>
      </c>
    </row>
    <row r="21" customFormat="false" ht="12.8" hidden="false" customHeight="false" outlineLevel="0" collapsed="false">
      <c r="A21" s="0" t="s">
        <v>84</v>
      </c>
      <c r="B21" s="4" t="s">
        <v>85</v>
      </c>
      <c r="C21" s="0" t="s">
        <v>44</v>
      </c>
      <c r="D21" s="0" t="n">
        <v>22</v>
      </c>
      <c r="E21" s="0" t="s">
        <v>44</v>
      </c>
      <c r="F21" s="0" t="n">
        <v>3</v>
      </c>
      <c r="G21" s="0" t="n">
        <v>1</v>
      </c>
      <c r="H21" s="0" t="n">
        <v>1</v>
      </c>
      <c r="I21" s="0" t="n">
        <v>2</v>
      </c>
      <c r="J21" s="0" t="n">
        <v>3</v>
      </c>
      <c r="K21" s="0" t="n">
        <v>3</v>
      </c>
      <c r="L21" s="0" t="n">
        <v>4</v>
      </c>
      <c r="M21" s="0" t="n">
        <v>5</v>
      </c>
      <c r="N21" s="0" t="n">
        <v>5</v>
      </c>
      <c r="O21" s="0" t="n">
        <v>1</v>
      </c>
      <c r="P21" s="0" t="n">
        <v>4</v>
      </c>
      <c r="Q21" s="0" t="n">
        <v>1</v>
      </c>
      <c r="R21" s="0" t="n">
        <v>2</v>
      </c>
      <c r="S21" s="0" t="n">
        <v>1</v>
      </c>
      <c r="T21" s="0" t="n">
        <v>3</v>
      </c>
      <c r="U21" s="0" t="n">
        <v>2</v>
      </c>
      <c r="V21" s="0" t="n">
        <v>4</v>
      </c>
      <c r="W21" s="0" t="n">
        <v>4</v>
      </c>
      <c r="X21" s="0" t="n">
        <v>2</v>
      </c>
      <c r="Y21" s="0" t="n">
        <v>2</v>
      </c>
      <c r="Z21" s="0" t="s">
        <v>48</v>
      </c>
      <c r="AA21" s="0" t="n">
        <v>15500</v>
      </c>
      <c r="AC21" s="0" t="n">
        <f aca="false">6-G21</f>
        <v>5</v>
      </c>
      <c r="AD21" s="0" t="n">
        <f aca="false">6-H21</f>
        <v>5</v>
      </c>
      <c r="AE21" s="0" t="n">
        <f aca="false">6-K21</f>
        <v>3</v>
      </c>
      <c r="AF21" s="0" t="n">
        <f aca="false">6-N21</f>
        <v>1</v>
      </c>
      <c r="AG21" s="0" t="n">
        <f aca="false">6-O21</f>
        <v>5</v>
      </c>
      <c r="AH21" s="0" t="n">
        <f aca="false">6-Q21</f>
        <v>5</v>
      </c>
      <c r="AI21" s="0" t="n">
        <f aca="false">6-R21</f>
        <v>4</v>
      </c>
      <c r="AJ21" s="0" t="n">
        <f aca="false">6-U21</f>
        <v>4</v>
      </c>
      <c r="AK21" s="0" t="n">
        <f aca="false">6-X21</f>
        <v>4</v>
      </c>
      <c r="AL21" s="0" t="n">
        <f aca="false">6-Y21</f>
        <v>4</v>
      </c>
      <c r="AN21" s="0" t="n">
        <f aca="false">AVERAGE(F21,P21,AE21,AJ21)</f>
        <v>3.5</v>
      </c>
      <c r="AO21" s="0" t="n">
        <f aca="false">AVERAGE(L21,V21,AC21,AH21)</f>
        <v>4.5</v>
      </c>
      <c r="AP21" s="0" t="n">
        <f aca="false">AVERAGE(H21,R21,AG21,AL21)</f>
        <v>3</v>
      </c>
      <c r="AQ21" s="0" t="n">
        <f aca="false">AVERAGE(I21,S21,AF21,AK21)</f>
        <v>2</v>
      </c>
      <c r="AR21" s="0" t="n">
        <f aca="false">AVERAGE(J21,T21,AG21,AL21)</f>
        <v>3.75</v>
      </c>
    </row>
    <row r="22" customFormat="false" ht="12.8" hidden="false" customHeight="false" outlineLevel="0" collapsed="false">
      <c r="A22" s="0" t="s">
        <v>86</v>
      </c>
      <c r="B22" s="4" t="s">
        <v>87</v>
      </c>
      <c r="C22" s="0" t="s">
        <v>44</v>
      </c>
      <c r="D22" s="0" t="n">
        <v>10</v>
      </c>
      <c r="E22" s="0" t="s">
        <v>44</v>
      </c>
      <c r="F22" s="0" t="n">
        <v>1</v>
      </c>
      <c r="G22" s="0" t="n">
        <v>4</v>
      </c>
      <c r="H22" s="0" t="n">
        <v>1</v>
      </c>
      <c r="I22" s="0" t="n">
        <v>2</v>
      </c>
      <c r="J22" s="0" t="n">
        <v>3</v>
      </c>
      <c r="K22" s="0" t="n">
        <v>4</v>
      </c>
      <c r="L22" s="0" t="n">
        <v>4</v>
      </c>
      <c r="M22" s="0" t="n">
        <v>3</v>
      </c>
      <c r="N22" s="0" t="n">
        <v>4</v>
      </c>
      <c r="O22" s="0" t="n">
        <v>1</v>
      </c>
      <c r="P22" s="0" t="n">
        <v>1</v>
      </c>
      <c r="Q22" s="0" t="n">
        <v>4</v>
      </c>
      <c r="R22" s="0" t="n">
        <v>1</v>
      </c>
      <c r="S22" s="0" t="n">
        <v>2</v>
      </c>
      <c r="T22" s="0" t="n">
        <v>4</v>
      </c>
      <c r="U22" s="0" t="n">
        <v>5</v>
      </c>
      <c r="V22" s="0" t="n">
        <v>2</v>
      </c>
      <c r="W22" s="0" t="n">
        <v>4</v>
      </c>
      <c r="X22" s="0" t="n">
        <v>3</v>
      </c>
      <c r="Y22" s="0" t="n">
        <v>2</v>
      </c>
      <c r="Z22" s="0" t="s">
        <v>65</v>
      </c>
      <c r="AA22" s="0" t="n">
        <v>16000</v>
      </c>
      <c r="AC22" s="0" t="n">
        <f aca="false">6-G22</f>
        <v>2</v>
      </c>
      <c r="AD22" s="0" t="n">
        <f aca="false">6-H22</f>
        <v>5</v>
      </c>
      <c r="AE22" s="0" t="n">
        <f aca="false">6-K22</f>
        <v>2</v>
      </c>
      <c r="AF22" s="0" t="n">
        <f aca="false">6-N22</f>
        <v>2</v>
      </c>
      <c r="AG22" s="0" t="n">
        <f aca="false">6-O22</f>
        <v>5</v>
      </c>
      <c r="AH22" s="0" t="n">
        <f aca="false">6-Q22</f>
        <v>2</v>
      </c>
      <c r="AI22" s="0" t="n">
        <f aca="false">6-R22</f>
        <v>5</v>
      </c>
      <c r="AJ22" s="0" t="n">
        <f aca="false">6-U22</f>
        <v>1</v>
      </c>
      <c r="AK22" s="0" t="n">
        <f aca="false">6-X22</f>
        <v>3</v>
      </c>
      <c r="AL22" s="0" t="n">
        <f aca="false">6-Y22</f>
        <v>4</v>
      </c>
      <c r="AN22" s="0" t="n">
        <f aca="false">AVERAGE(F22,P22,AE22,AJ22)</f>
        <v>1.25</v>
      </c>
      <c r="AO22" s="0" t="n">
        <f aca="false">AVERAGE(L22,V22,AC22,AH22)</f>
        <v>2.5</v>
      </c>
      <c r="AP22" s="0" t="n">
        <f aca="false">AVERAGE(H22,R22,AG22,AL22)</f>
        <v>2.75</v>
      </c>
      <c r="AQ22" s="0" t="n">
        <f aca="false">AVERAGE(I22,S22,AF22,AK22)</f>
        <v>2.25</v>
      </c>
      <c r="AR22" s="0" t="n">
        <f aca="false">AVERAGE(J22,T22,AG22,AL22)</f>
        <v>4</v>
      </c>
    </row>
    <row r="23" customFormat="false" ht="12.8" hidden="false" customHeight="false" outlineLevel="0" collapsed="false">
      <c r="A23" s="0" t="s">
        <v>88</v>
      </c>
      <c r="B23" s="4" t="s">
        <v>89</v>
      </c>
      <c r="C23" s="0" t="s">
        <v>44</v>
      </c>
      <c r="D23" s="0" t="n">
        <v>7</v>
      </c>
      <c r="E23" s="0" t="s">
        <v>44</v>
      </c>
      <c r="F23" s="0" t="n">
        <v>3</v>
      </c>
      <c r="G23" s="0" t="n">
        <v>3</v>
      </c>
      <c r="H23" s="0" t="n">
        <v>3</v>
      </c>
      <c r="I23" s="0" t="n">
        <v>3</v>
      </c>
      <c r="J23" s="0" t="n">
        <v>3</v>
      </c>
      <c r="K23" s="0" t="n">
        <v>4</v>
      </c>
      <c r="L23" s="0" t="n">
        <v>3</v>
      </c>
      <c r="M23" s="0" t="n">
        <v>3</v>
      </c>
      <c r="N23" s="0" t="n">
        <v>3</v>
      </c>
      <c r="O23" s="0" t="n">
        <v>2</v>
      </c>
      <c r="P23" s="0" t="n">
        <v>3</v>
      </c>
      <c r="Q23" s="0" t="n">
        <v>3</v>
      </c>
      <c r="R23" s="0" t="n">
        <v>4</v>
      </c>
      <c r="S23" s="0" t="n">
        <v>3</v>
      </c>
      <c r="T23" s="0" t="n">
        <v>4</v>
      </c>
      <c r="U23" s="0" t="n">
        <v>3</v>
      </c>
      <c r="V23" s="0" t="n">
        <v>3</v>
      </c>
      <c r="W23" s="0" t="n">
        <v>3</v>
      </c>
      <c r="X23" s="0" t="n">
        <v>3</v>
      </c>
      <c r="Y23" s="0" t="n">
        <v>3</v>
      </c>
      <c r="Z23" s="0" t="s">
        <v>65</v>
      </c>
      <c r="AA23" s="0" t="n">
        <v>17000</v>
      </c>
      <c r="AC23" s="0" t="n">
        <f aca="false">6-G23</f>
        <v>3</v>
      </c>
      <c r="AD23" s="0" t="n">
        <f aca="false">6-H23</f>
        <v>3</v>
      </c>
      <c r="AE23" s="0" t="n">
        <f aca="false">6-K23</f>
        <v>2</v>
      </c>
      <c r="AF23" s="0" t="n">
        <f aca="false">6-N23</f>
        <v>3</v>
      </c>
      <c r="AG23" s="0" t="n">
        <f aca="false">6-O23</f>
        <v>4</v>
      </c>
      <c r="AH23" s="0" t="n">
        <f aca="false">6-Q23</f>
        <v>3</v>
      </c>
      <c r="AI23" s="0" t="n">
        <f aca="false">6-R23</f>
        <v>2</v>
      </c>
      <c r="AJ23" s="0" t="n">
        <f aca="false">6-U23</f>
        <v>3</v>
      </c>
      <c r="AK23" s="0" t="n">
        <f aca="false">6-X23</f>
        <v>3</v>
      </c>
      <c r="AL23" s="0" t="n">
        <f aca="false">6-Y23</f>
        <v>3</v>
      </c>
      <c r="AN23" s="0" t="n">
        <f aca="false">AVERAGE(F23,P23,AE23,AJ23)</f>
        <v>2.75</v>
      </c>
      <c r="AO23" s="0" t="n">
        <f aca="false">AVERAGE(L23,V23,AC23,AH23)</f>
        <v>3</v>
      </c>
      <c r="AP23" s="0" t="n">
        <f aca="false">AVERAGE(H23,R23,AG23,AL23)</f>
        <v>3.5</v>
      </c>
      <c r="AQ23" s="0" t="n">
        <f aca="false">AVERAGE(I23,S23,AF23,AK23)</f>
        <v>3</v>
      </c>
      <c r="AR23" s="0" t="n">
        <f aca="false">AVERAGE(J23,T23,AG23,AL23)</f>
        <v>3.5</v>
      </c>
    </row>
    <row r="24" customFormat="false" ht="12.8" hidden="false" customHeight="false" outlineLevel="0" collapsed="false">
      <c r="A24" s="3" t="s">
        <v>90</v>
      </c>
      <c r="B24" s="4" t="s">
        <v>91</v>
      </c>
      <c r="C24" s="0" t="s">
        <v>44</v>
      </c>
      <c r="D24" s="0" t="n">
        <v>5</v>
      </c>
      <c r="E24" s="0" t="s">
        <v>44</v>
      </c>
      <c r="F24" s="0" t="n">
        <v>3</v>
      </c>
      <c r="G24" s="0" t="n">
        <v>1</v>
      </c>
      <c r="H24" s="0" t="n">
        <v>1</v>
      </c>
      <c r="I24" s="0" t="n">
        <v>2</v>
      </c>
      <c r="J24" s="0" t="n">
        <v>2</v>
      </c>
      <c r="K24" s="0" t="n">
        <v>3</v>
      </c>
      <c r="L24" s="0" t="n">
        <v>3</v>
      </c>
      <c r="M24" s="0" t="n">
        <v>3</v>
      </c>
      <c r="N24" s="0" t="n">
        <v>4</v>
      </c>
      <c r="O24" s="0" t="n">
        <v>1</v>
      </c>
      <c r="P24" s="0" t="n">
        <v>3</v>
      </c>
      <c r="Q24" s="0" t="n">
        <v>2</v>
      </c>
      <c r="R24" s="0" t="n">
        <v>2</v>
      </c>
      <c r="S24" s="0" t="n">
        <v>2</v>
      </c>
      <c r="T24" s="0" t="n">
        <v>4</v>
      </c>
      <c r="U24" s="0" t="n">
        <v>4</v>
      </c>
      <c r="V24" s="0" t="n">
        <v>3</v>
      </c>
      <c r="W24" s="0" t="n">
        <v>4</v>
      </c>
      <c r="X24" s="0" t="n">
        <v>2</v>
      </c>
      <c r="Y24" s="0" t="n">
        <v>2</v>
      </c>
      <c r="Z24" s="0" t="s">
        <v>65</v>
      </c>
      <c r="AA24" s="0" t="n">
        <v>17000</v>
      </c>
      <c r="AC24" s="0" t="n">
        <f aca="false">6-G24</f>
        <v>5</v>
      </c>
      <c r="AD24" s="0" t="n">
        <f aca="false">6-H24</f>
        <v>5</v>
      </c>
      <c r="AE24" s="0" t="n">
        <f aca="false">6-K24</f>
        <v>3</v>
      </c>
      <c r="AF24" s="0" t="n">
        <f aca="false">6-N24</f>
        <v>2</v>
      </c>
      <c r="AG24" s="0" t="n">
        <f aca="false">6-O24</f>
        <v>5</v>
      </c>
      <c r="AH24" s="0" t="n">
        <f aca="false">6-Q24</f>
        <v>4</v>
      </c>
      <c r="AI24" s="0" t="n">
        <f aca="false">6-R24</f>
        <v>4</v>
      </c>
      <c r="AJ24" s="0" t="n">
        <f aca="false">6-U24</f>
        <v>2</v>
      </c>
      <c r="AK24" s="0" t="n">
        <f aca="false">6-X24</f>
        <v>4</v>
      </c>
      <c r="AL24" s="0" t="n">
        <f aca="false">6-Y24</f>
        <v>4</v>
      </c>
      <c r="AN24" s="0" t="n">
        <f aca="false">AVERAGE(F24,P24,AE24,AJ24)</f>
        <v>2.75</v>
      </c>
      <c r="AO24" s="0" t="n">
        <f aca="false">AVERAGE(L24,V24,AC24,AH24)</f>
        <v>3.75</v>
      </c>
      <c r="AP24" s="0" t="n">
        <f aca="false">AVERAGE(H24,R24,AG24,AL24)</f>
        <v>3</v>
      </c>
      <c r="AQ24" s="0" t="n">
        <f aca="false">AVERAGE(I24,S24,AF24,AK24)</f>
        <v>2.5</v>
      </c>
      <c r="AR24" s="0" t="n">
        <f aca="false">AVERAGE(J24,T24,AG24,AL24)</f>
        <v>3.75</v>
      </c>
    </row>
    <row r="25" customFormat="false" ht="12.8" hidden="false" customHeight="false" outlineLevel="0" collapsed="false">
      <c r="A25" s="0" t="s">
        <v>92</v>
      </c>
      <c r="B25" s="4" t="s">
        <v>93</v>
      </c>
      <c r="C25" s="0" t="s">
        <v>44</v>
      </c>
      <c r="D25" s="0" t="n">
        <v>8</v>
      </c>
      <c r="E25" s="0" t="s">
        <v>44</v>
      </c>
      <c r="F25" s="0" t="n">
        <v>3</v>
      </c>
      <c r="G25" s="0" t="n">
        <v>3</v>
      </c>
      <c r="H25" s="0" t="n">
        <v>2</v>
      </c>
      <c r="I25" s="0" t="n">
        <v>4</v>
      </c>
      <c r="J25" s="0" t="n">
        <v>4</v>
      </c>
      <c r="K25" s="0" t="n">
        <v>4</v>
      </c>
      <c r="L25" s="0" t="n">
        <v>3</v>
      </c>
      <c r="M25" s="0" t="n">
        <v>3</v>
      </c>
      <c r="N25" s="0" t="n">
        <v>2</v>
      </c>
      <c r="O25" s="0" t="n">
        <v>1</v>
      </c>
      <c r="P25" s="0" t="n">
        <v>2</v>
      </c>
      <c r="Q25" s="0" t="n">
        <v>4</v>
      </c>
      <c r="R25" s="0" t="n">
        <v>2</v>
      </c>
      <c r="S25" s="0" t="n">
        <v>3</v>
      </c>
      <c r="T25" s="0" t="n">
        <v>1</v>
      </c>
      <c r="U25" s="0" t="n">
        <v>5</v>
      </c>
      <c r="V25" s="0" t="n">
        <v>5</v>
      </c>
      <c r="W25" s="0" t="n">
        <v>4</v>
      </c>
      <c r="X25" s="0" t="n">
        <v>2</v>
      </c>
      <c r="Y25" s="0" t="n">
        <v>2</v>
      </c>
      <c r="Z25" s="0" t="s">
        <v>48</v>
      </c>
      <c r="AA25" s="0" t="n">
        <v>18000</v>
      </c>
      <c r="AC25" s="0" t="n">
        <f aca="false">6-G25</f>
        <v>3</v>
      </c>
      <c r="AD25" s="0" t="n">
        <f aca="false">6-H25</f>
        <v>4</v>
      </c>
      <c r="AE25" s="0" t="n">
        <f aca="false">6-K25</f>
        <v>2</v>
      </c>
      <c r="AF25" s="0" t="n">
        <f aca="false">6-N25</f>
        <v>4</v>
      </c>
      <c r="AG25" s="0" t="n">
        <f aca="false">6-O25</f>
        <v>5</v>
      </c>
      <c r="AH25" s="0" t="n">
        <f aca="false">6-Q25</f>
        <v>2</v>
      </c>
      <c r="AI25" s="0" t="n">
        <f aca="false">6-R25</f>
        <v>4</v>
      </c>
      <c r="AJ25" s="0" t="n">
        <f aca="false">6-U25</f>
        <v>1</v>
      </c>
      <c r="AK25" s="0" t="n">
        <f aca="false">6-X25</f>
        <v>4</v>
      </c>
      <c r="AL25" s="0" t="n">
        <f aca="false">6-Y25</f>
        <v>4</v>
      </c>
      <c r="AN25" s="0" t="n">
        <f aca="false">AVERAGE(F25,P25,AE25,AJ25)</f>
        <v>2</v>
      </c>
      <c r="AO25" s="0" t="n">
        <f aca="false">AVERAGE(L25,V25,AC25,AH25)</f>
        <v>3.25</v>
      </c>
      <c r="AP25" s="0" t="n">
        <f aca="false">AVERAGE(H25,R25,AG25,AL25)</f>
        <v>3.25</v>
      </c>
      <c r="AQ25" s="0" t="n">
        <f aca="false">AVERAGE(I25,S25,AF25,AK25)</f>
        <v>3.75</v>
      </c>
      <c r="AR25" s="0" t="n">
        <f aca="false">AVERAGE(J25,T25,AG25,AL25)</f>
        <v>3.5</v>
      </c>
    </row>
    <row r="26" customFormat="false" ht="12.8" hidden="false" customHeight="false" outlineLevel="0" collapsed="false">
      <c r="A26" s="0" t="s">
        <v>94</v>
      </c>
      <c r="B26" s="4" t="s">
        <v>95</v>
      </c>
      <c r="C26" s="0" t="s">
        <v>44</v>
      </c>
      <c r="D26" s="0" t="n">
        <v>10</v>
      </c>
      <c r="E26" s="0" t="s">
        <v>44</v>
      </c>
      <c r="F26" s="0" t="n">
        <v>4</v>
      </c>
      <c r="G26" s="0" t="n">
        <v>2</v>
      </c>
      <c r="H26" s="0" t="n">
        <v>4</v>
      </c>
      <c r="I26" s="0" t="n">
        <v>2</v>
      </c>
      <c r="J26" s="0" t="n">
        <v>4</v>
      </c>
      <c r="K26" s="0" t="n">
        <v>3</v>
      </c>
      <c r="L26" s="0" t="n">
        <v>5</v>
      </c>
      <c r="M26" s="0" t="n">
        <v>3</v>
      </c>
      <c r="N26" s="0" t="n">
        <v>5</v>
      </c>
      <c r="O26" s="0" t="n">
        <v>1</v>
      </c>
      <c r="P26" s="0" t="n">
        <v>4</v>
      </c>
      <c r="Q26" s="0" t="n">
        <v>2</v>
      </c>
      <c r="R26" s="0" t="n">
        <v>5</v>
      </c>
      <c r="S26" s="0" t="n">
        <v>2</v>
      </c>
      <c r="T26" s="0" t="n">
        <v>4</v>
      </c>
      <c r="U26" s="0" t="n">
        <v>4</v>
      </c>
      <c r="V26" s="0" t="n">
        <v>4</v>
      </c>
      <c r="W26" s="0" t="n">
        <v>2</v>
      </c>
      <c r="X26" s="0" t="n">
        <v>5</v>
      </c>
      <c r="Y26" s="0" t="n">
        <v>1</v>
      </c>
      <c r="Z26" s="0" t="s">
        <v>65</v>
      </c>
      <c r="AA26" s="0" t="n">
        <v>18000</v>
      </c>
      <c r="AC26" s="0" t="n">
        <f aca="false">6-G26</f>
        <v>4</v>
      </c>
      <c r="AD26" s="0" t="n">
        <f aca="false">6-H26</f>
        <v>2</v>
      </c>
      <c r="AE26" s="0" t="n">
        <f aca="false">6-K26</f>
        <v>3</v>
      </c>
      <c r="AF26" s="0" t="n">
        <f aca="false">6-N26</f>
        <v>1</v>
      </c>
      <c r="AG26" s="0" t="n">
        <f aca="false">6-O26</f>
        <v>5</v>
      </c>
      <c r="AH26" s="0" t="n">
        <f aca="false">6-Q26</f>
        <v>4</v>
      </c>
      <c r="AI26" s="0" t="n">
        <f aca="false">6-R26</f>
        <v>1</v>
      </c>
      <c r="AJ26" s="0" t="n">
        <f aca="false">6-U26</f>
        <v>2</v>
      </c>
      <c r="AK26" s="0" t="n">
        <f aca="false">6-X26</f>
        <v>1</v>
      </c>
      <c r="AL26" s="0" t="n">
        <f aca="false">6-Y26</f>
        <v>5</v>
      </c>
      <c r="AN26" s="0" t="n">
        <f aca="false">AVERAGE(F26,P26,AE26,AJ26)</f>
        <v>3.25</v>
      </c>
      <c r="AO26" s="0" t="n">
        <f aca="false">AVERAGE(L26,V26,AC26,AH26)</f>
        <v>4.25</v>
      </c>
      <c r="AP26" s="0" t="n">
        <f aca="false">AVERAGE(H26,R26,AG26,AL26)</f>
        <v>4.75</v>
      </c>
      <c r="AQ26" s="0" t="n">
        <f aca="false">AVERAGE(I26,S26,AF26,AK26)</f>
        <v>1.5</v>
      </c>
      <c r="AR26" s="0" t="n">
        <f aca="false">AVERAGE(J26,T26,AG26,AL26)</f>
        <v>4.5</v>
      </c>
    </row>
    <row r="27" customFormat="false" ht="12.8" hidden="false" customHeight="false" outlineLevel="0" collapsed="false">
      <c r="A27" s="0" t="s">
        <v>96</v>
      </c>
      <c r="B27" s="4" t="s">
        <v>97</v>
      </c>
      <c r="C27" s="0" t="s">
        <v>44</v>
      </c>
      <c r="D27" s="0" t="n">
        <v>10</v>
      </c>
      <c r="E27" s="0" t="s">
        <v>44</v>
      </c>
      <c r="F27" s="0" t="n">
        <v>3</v>
      </c>
      <c r="G27" s="0" t="n">
        <v>3</v>
      </c>
      <c r="H27" s="0" t="n">
        <v>5</v>
      </c>
      <c r="I27" s="0" t="n">
        <v>4</v>
      </c>
      <c r="J27" s="0" t="n">
        <v>5</v>
      </c>
      <c r="K27" s="0" t="n">
        <v>4</v>
      </c>
      <c r="L27" s="0" t="n">
        <v>3</v>
      </c>
      <c r="M27" s="0" t="n">
        <v>5</v>
      </c>
      <c r="N27" s="0" t="n">
        <v>3</v>
      </c>
      <c r="O27" s="0" t="n">
        <v>1</v>
      </c>
      <c r="P27" s="0" t="n">
        <v>4</v>
      </c>
      <c r="Q27" s="0" t="n">
        <v>1</v>
      </c>
      <c r="R27" s="0" t="n">
        <v>5</v>
      </c>
      <c r="S27" s="0" t="n">
        <v>4</v>
      </c>
      <c r="T27" s="0" t="n">
        <v>4</v>
      </c>
      <c r="U27" s="0" t="n">
        <v>2</v>
      </c>
      <c r="V27" s="0" t="n">
        <v>4</v>
      </c>
      <c r="W27" s="0" t="n">
        <v>5</v>
      </c>
      <c r="X27" s="0" t="n">
        <v>1</v>
      </c>
      <c r="Y27" s="0" t="n">
        <v>2</v>
      </c>
      <c r="Z27" s="0" t="s">
        <v>65</v>
      </c>
      <c r="AA27" s="0" t="n">
        <v>19000</v>
      </c>
      <c r="AC27" s="0" t="n">
        <f aca="false">6-G27</f>
        <v>3</v>
      </c>
      <c r="AD27" s="0" t="n">
        <f aca="false">6-H27</f>
        <v>1</v>
      </c>
      <c r="AE27" s="0" t="n">
        <f aca="false">6-K27</f>
        <v>2</v>
      </c>
      <c r="AF27" s="0" t="n">
        <f aca="false">6-N27</f>
        <v>3</v>
      </c>
      <c r="AG27" s="0" t="n">
        <f aca="false">6-O27</f>
        <v>5</v>
      </c>
      <c r="AH27" s="0" t="n">
        <f aca="false">6-Q27</f>
        <v>5</v>
      </c>
      <c r="AI27" s="0" t="n">
        <f aca="false">6-R27</f>
        <v>1</v>
      </c>
      <c r="AJ27" s="0" t="n">
        <f aca="false">6-U27</f>
        <v>4</v>
      </c>
      <c r="AK27" s="0" t="n">
        <f aca="false">6-X27</f>
        <v>5</v>
      </c>
      <c r="AL27" s="0" t="n">
        <f aca="false">6-Y27</f>
        <v>4</v>
      </c>
      <c r="AN27" s="0" t="n">
        <f aca="false">AVERAGE(F27,P27,AE27,AJ27)</f>
        <v>3.25</v>
      </c>
      <c r="AO27" s="0" t="n">
        <f aca="false">AVERAGE(L27,V27,AC27,AH27)</f>
        <v>3.75</v>
      </c>
      <c r="AP27" s="0" t="n">
        <f aca="false">AVERAGE(H27,R27,AG27,AL27)</f>
        <v>4.75</v>
      </c>
      <c r="AQ27" s="0" t="n">
        <f aca="false">AVERAGE(I27,S27,AF27,AK27)</f>
        <v>4</v>
      </c>
      <c r="AR27" s="0" t="n">
        <f aca="false">AVERAGE(J27,T27,AG27,AL27)</f>
        <v>4.5</v>
      </c>
    </row>
    <row r="28" customFormat="false" ht="12.8" hidden="false" customHeight="false" outlineLevel="0" collapsed="false">
      <c r="A28" s="0" t="s">
        <v>98</v>
      </c>
      <c r="B28" s="4" t="s">
        <v>99</v>
      </c>
      <c r="C28" s="0" t="s">
        <v>44</v>
      </c>
      <c r="D28" s="0" t="n">
        <v>8</v>
      </c>
      <c r="E28" s="0" t="s">
        <v>44</v>
      </c>
      <c r="F28" s="0" t="n">
        <v>3</v>
      </c>
      <c r="G28" s="0" t="n">
        <v>2</v>
      </c>
      <c r="H28" s="0" t="n">
        <v>2</v>
      </c>
      <c r="I28" s="0" t="n">
        <v>3</v>
      </c>
      <c r="J28" s="0" t="n">
        <v>3</v>
      </c>
      <c r="K28" s="0" t="n">
        <v>3</v>
      </c>
      <c r="L28" s="0" t="n">
        <v>4</v>
      </c>
      <c r="M28" s="0" t="n">
        <v>4</v>
      </c>
      <c r="N28" s="0" t="n">
        <v>4</v>
      </c>
      <c r="O28" s="0" t="n">
        <v>1</v>
      </c>
      <c r="P28" s="0" t="n">
        <v>4</v>
      </c>
      <c r="Q28" s="0" t="n">
        <v>1</v>
      </c>
      <c r="R28" s="0" t="n">
        <v>1</v>
      </c>
      <c r="S28" s="0" t="n">
        <v>3</v>
      </c>
      <c r="T28" s="0" t="n">
        <v>5</v>
      </c>
      <c r="U28" s="0" t="n">
        <v>2</v>
      </c>
      <c r="V28" s="0" t="n">
        <v>4</v>
      </c>
      <c r="W28" s="0" t="n">
        <v>3</v>
      </c>
      <c r="X28" s="0" t="n">
        <v>4</v>
      </c>
      <c r="Y28" s="0" t="n">
        <v>1</v>
      </c>
      <c r="Z28" s="0" t="s">
        <v>65</v>
      </c>
      <c r="AA28" s="0" t="n">
        <v>20000</v>
      </c>
      <c r="AC28" s="0" t="n">
        <f aca="false">6-G28</f>
        <v>4</v>
      </c>
      <c r="AD28" s="0" t="n">
        <f aca="false">6-H28</f>
        <v>4</v>
      </c>
      <c r="AE28" s="0" t="n">
        <f aca="false">6-K28</f>
        <v>3</v>
      </c>
      <c r="AF28" s="0" t="n">
        <f aca="false">6-N28</f>
        <v>2</v>
      </c>
      <c r="AG28" s="0" t="n">
        <f aca="false">6-O28</f>
        <v>5</v>
      </c>
      <c r="AH28" s="0" t="n">
        <f aca="false">6-Q28</f>
        <v>5</v>
      </c>
      <c r="AI28" s="0" t="n">
        <f aca="false">6-R28</f>
        <v>5</v>
      </c>
      <c r="AJ28" s="0" t="n">
        <f aca="false">6-U28</f>
        <v>4</v>
      </c>
      <c r="AK28" s="0" t="n">
        <f aca="false">6-X28</f>
        <v>2</v>
      </c>
      <c r="AL28" s="0" t="n">
        <f aca="false">6-Y28</f>
        <v>5</v>
      </c>
      <c r="AN28" s="0" t="n">
        <f aca="false">AVERAGE(F28,P28,AE28,AJ28)</f>
        <v>3.5</v>
      </c>
      <c r="AO28" s="0" t="n">
        <f aca="false">AVERAGE(L28,V28,AC28,AH28)</f>
        <v>4.25</v>
      </c>
      <c r="AP28" s="0" t="n">
        <f aca="false">AVERAGE(H28,R28,AG28,AL28)</f>
        <v>3.25</v>
      </c>
      <c r="AQ28" s="0" t="n">
        <f aca="false">AVERAGE(I28,S28,AF28,AK28)</f>
        <v>2.5</v>
      </c>
      <c r="AR28" s="0" t="n">
        <f aca="false">AVERAGE(J28,T28,AG28,AL28)</f>
        <v>4.5</v>
      </c>
    </row>
    <row r="29" customFormat="false" ht="12.8" hidden="false" customHeight="false" outlineLevel="0" collapsed="false">
      <c r="A29" s="0" t="s">
        <v>100</v>
      </c>
      <c r="B29" s="4" t="s">
        <v>101</v>
      </c>
      <c r="C29" s="0" t="s">
        <v>44</v>
      </c>
      <c r="D29" s="0" t="n">
        <v>23</v>
      </c>
      <c r="E29" s="0" t="s">
        <v>44</v>
      </c>
      <c r="F29" s="0" t="n">
        <v>2</v>
      </c>
      <c r="G29" s="0" t="n">
        <v>4</v>
      </c>
      <c r="H29" s="0" t="n">
        <v>3</v>
      </c>
      <c r="I29" s="0" t="n">
        <v>4</v>
      </c>
      <c r="J29" s="0" t="n">
        <v>5</v>
      </c>
      <c r="K29" s="0" t="n">
        <v>5</v>
      </c>
      <c r="L29" s="0" t="n">
        <v>4</v>
      </c>
      <c r="M29" s="0" t="n">
        <v>2</v>
      </c>
      <c r="N29" s="0" t="n">
        <v>2</v>
      </c>
      <c r="O29" s="0" t="n">
        <v>2</v>
      </c>
      <c r="P29" s="0" t="n">
        <v>1</v>
      </c>
      <c r="Q29" s="0" t="n">
        <v>4</v>
      </c>
      <c r="R29" s="0" t="n">
        <v>4</v>
      </c>
      <c r="S29" s="0" t="n">
        <v>3</v>
      </c>
      <c r="T29" s="0" t="n">
        <v>2</v>
      </c>
      <c r="U29" s="0" t="n">
        <v>5</v>
      </c>
      <c r="V29" s="0" t="n">
        <v>4</v>
      </c>
      <c r="W29" s="0" t="n">
        <v>3</v>
      </c>
      <c r="X29" s="0" t="n">
        <v>4</v>
      </c>
      <c r="Y29" s="0" t="n">
        <v>2</v>
      </c>
      <c r="Z29" s="0" t="s">
        <v>65</v>
      </c>
      <c r="AA29" s="0" t="n">
        <v>20000</v>
      </c>
      <c r="AC29" s="0" t="n">
        <f aca="false">6-G29</f>
        <v>2</v>
      </c>
      <c r="AD29" s="0" t="n">
        <f aca="false">6-H29</f>
        <v>3</v>
      </c>
      <c r="AE29" s="0" t="n">
        <f aca="false">6-K29</f>
        <v>1</v>
      </c>
      <c r="AF29" s="0" t="n">
        <f aca="false">6-N29</f>
        <v>4</v>
      </c>
      <c r="AG29" s="0" t="n">
        <f aca="false">6-O29</f>
        <v>4</v>
      </c>
      <c r="AH29" s="0" t="n">
        <f aca="false">6-Q29</f>
        <v>2</v>
      </c>
      <c r="AI29" s="0" t="n">
        <f aca="false">6-R29</f>
        <v>2</v>
      </c>
      <c r="AJ29" s="0" t="n">
        <f aca="false">6-U29</f>
        <v>1</v>
      </c>
      <c r="AK29" s="0" t="n">
        <f aca="false">6-X29</f>
        <v>2</v>
      </c>
      <c r="AL29" s="0" t="n">
        <f aca="false">6-Y29</f>
        <v>4</v>
      </c>
      <c r="AN29" s="0" t="n">
        <f aca="false">AVERAGE(F29,P29,AE29,AJ29)</f>
        <v>1.25</v>
      </c>
      <c r="AO29" s="0" t="n">
        <f aca="false">AVERAGE(L29,V29,AC29,AH29)</f>
        <v>3</v>
      </c>
      <c r="AP29" s="0" t="n">
        <f aca="false">AVERAGE(H29,R29,AG29,AL29)</f>
        <v>3.75</v>
      </c>
      <c r="AQ29" s="0" t="n">
        <f aca="false">AVERAGE(I29,S29,AF29,AK29)</f>
        <v>3.25</v>
      </c>
      <c r="AR29" s="0" t="n">
        <f aca="false">AVERAGE(J29,T29,AG29,AL29)</f>
        <v>3.75</v>
      </c>
    </row>
    <row r="30" customFormat="false" ht="12.8" hidden="false" customHeight="false" outlineLevel="0" collapsed="false">
      <c r="A30" s="0" t="s">
        <v>102</v>
      </c>
      <c r="B30" s="4" t="s">
        <v>103</v>
      </c>
      <c r="C30" s="0" t="s">
        <v>44</v>
      </c>
      <c r="D30" s="0" t="n">
        <v>14</v>
      </c>
      <c r="E30" s="0" t="s">
        <v>44</v>
      </c>
      <c r="F30" s="0" t="n">
        <v>4</v>
      </c>
      <c r="G30" s="0" t="n">
        <v>2</v>
      </c>
      <c r="H30" s="0" t="n">
        <v>2</v>
      </c>
      <c r="I30" s="0" t="n">
        <v>3</v>
      </c>
      <c r="J30" s="0" t="n">
        <v>4</v>
      </c>
      <c r="K30" s="0" t="n">
        <v>2</v>
      </c>
      <c r="L30" s="0" t="n">
        <v>2</v>
      </c>
      <c r="M30" s="0" t="n">
        <v>4</v>
      </c>
      <c r="N30" s="0" t="n">
        <v>4</v>
      </c>
      <c r="O30" s="0" t="n">
        <v>1</v>
      </c>
      <c r="P30" s="0" t="n">
        <v>4</v>
      </c>
      <c r="Q30" s="0" t="n">
        <v>2</v>
      </c>
      <c r="R30" s="0" t="n">
        <v>2</v>
      </c>
      <c r="S30" s="0" t="n">
        <v>2</v>
      </c>
      <c r="T30" s="0" t="n">
        <v>4</v>
      </c>
      <c r="U30" s="0" t="n">
        <v>3</v>
      </c>
      <c r="V30" s="0" t="n">
        <v>4</v>
      </c>
      <c r="W30" s="0" t="n">
        <v>4</v>
      </c>
      <c r="X30" s="0" t="n">
        <v>3</v>
      </c>
      <c r="Y30" s="0" t="n">
        <v>1</v>
      </c>
      <c r="Z30" s="0" t="s">
        <v>48</v>
      </c>
      <c r="AA30" s="0" t="n">
        <v>20000</v>
      </c>
      <c r="AC30" s="0" t="n">
        <f aca="false">6-G30</f>
        <v>4</v>
      </c>
      <c r="AD30" s="0" t="n">
        <f aca="false">6-H30</f>
        <v>4</v>
      </c>
      <c r="AE30" s="0" t="n">
        <f aca="false">6-K30</f>
        <v>4</v>
      </c>
      <c r="AF30" s="0" t="n">
        <f aca="false">6-N30</f>
        <v>2</v>
      </c>
      <c r="AG30" s="0" t="n">
        <f aca="false">6-O30</f>
        <v>5</v>
      </c>
      <c r="AH30" s="0" t="n">
        <f aca="false">6-Q30</f>
        <v>4</v>
      </c>
      <c r="AI30" s="0" t="n">
        <f aca="false">6-R30</f>
        <v>4</v>
      </c>
      <c r="AJ30" s="0" t="n">
        <f aca="false">6-U30</f>
        <v>3</v>
      </c>
      <c r="AK30" s="0" t="n">
        <f aca="false">6-X30</f>
        <v>3</v>
      </c>
      <c r="AL30" s="0" t="n">
        <f aca="false">6-Y30</f>
        <v>5</v>
      </c>
      <c r="AN30" s="0" t="n">
        <f aca="false">AVERAGE(F30,P30,AE30,AJ30)</f>
        <v>3.75</v>
      </c>
      <c r="AO30" s="0" t="n">
        <f aca="false">AVERAGE(L30,V30,AC30,AH30)</f>
        <v>3.5</v>
      </c>
      <c r="AP30" s="0" t="n">
        <f aca="false">AVERAGE(H30,R30,AG30,AL30)</f>
        <v>3.5</v>
      </c>
      <c r="AQ30" s="0" t="n">
        <f aca="false">AVERAGE(I30,S30,AF30,AK30)</f>
        <v>2.5</v>
      </c>
      <c r="AR30" s="0" t="n">
        <f aca="false">AVERAGE(J30,T30,AG30,AL30)</f>
        <v>4.5</v>
      </c>
    </row>
    <row r="31" customFormat="false" ht="12.8" hidden="false" customHeight="false" outlineLevel="0" collapsed="false">
      <c r="A31" s="0" t="s">
        <v>104</v>
      </c>
      <c r="B31" s="4" t="s">
        <v>105</v>
      </c>
      <c r="C31" s="0" t="s">
        <v>44</v>
      </c>
      <c r="D31" s="0" t="n">
        <v>6</v>
      </c>
      <c r="E31" s="0" t="s">
        <v>44</v>
      </c>
      <c r="F31" s="0" t="n">
        <v>1</v>
      </c>
      <c r="G31" s="0" t="n">
        <v>3</v>
      </c>
      <c r="H31" s="0" t="n">
        <v>3</v>
      </c>
      <c r="I31" s="0" t="n">
        <v>1</v>
      </c>
      <c r="J31" s="0" t="n">
        <v>2</v>
      </c>
      <c r="K31" s="0" t="n">
        <v>5</v>
      </c>
      <c r="L31" s="0" t="n">
        <v>4</v>
      </c>
      <c r="M31" s="0" t="n">
        <v>4</v>
      </c>
      <c r="N31" s="0" t="n">
        <v>5</v>
      </c>
      <c r="O31" s="0" t="n">
        <v>2</v>
      </c>
      <c r="P31" s="0" t="n">
        <v>1</v>
      </c>
      <c r="Q31" s="0" t="n">
        <v>3</v>
      </c>
      <c r="R31" s="0" t="n">
        <v>2</v>
      </c>
      <c r="S31" s="0" t="n">
        <v>2</v>
      </c>
      <c r="T31" s="0" t="n">
        <v>4</v>
      </c>
      <c r="U31" s="0" t="n">
        <v>5</v>
      </c>
      <c r="V31" s="0" t="n">
        <v>3</v>
      </c>
      <c r="W31" s="0" t="n">
        <v>4</v>
      </c>
      <c r="X31" s="0" t="n">
        <v>4</v>
      </c>
      <c r="Y31" s="0" t="n">
        <v>3</v>
      </c>
      <c r="Z31" s="0" t="s">
        <v>65</v>
      </c>
      <c r="AA31" s="0" t="n">
        <v>20000</v>
      </c>
      <c r="AC31" s="0" t="n">
        <f aca="false">6-G31</f>
        <v>3</v>
      </c>
      <c r="AD31" s="0" t="n">
        <f aca="false">6-H31</f>
        <v>3</v>
      </c>
      <c r="AE31" s="0" t="n">
        <f aca="false">6-K31</f>
        <v>1</v>
      </c>
      <c r="AF31" s="0" t="n">
        <f aca="false">6-N31</f>
        <v>1</v>
      </c>
      <c r="AG31" s="0" t="n">
        <f aca="false">6-O31</f>
        <v>4</v>
      </c>
      <c r="AH31" s="0" t="n">
        <f aca="false">6-Q31</f>
        <v>3</v>
      </c>
      <c r="AI31" s="0" t="n">
        <f aca="false">6-R31</f>
        <v>4</v>
      </c>
      <c r="AJ31" s="0" t="n">
        <f aca="false">6-U31</f>
        <v>1</v>
      </c>
      <c r="AK31" s="0" t="n">
        <f aca="false">6-X31</f>
        <v>2</v>
      </c>
      <c r="AL31" s="0" t="n">
        <f aca="false">6-Y31</f>
        <v>3</v>
      </c>
      <c r="AN31" s="0" t="n">
        <f aca="false">AVERAGE(F31,P31,AE31,AJ31)</f>
        <v>1</v>
      </c>
      <c r="AO31" s="0" t="n">
        <f aca="false">AVERAGE(L31,V31,AC31,AH31)</f>
        <v>3.25</v>
      </c>
      <c r="AP31" s="0" t="n">
        <f aca="false">AVERAGE(H31,R31,AG31,AL31)</f>
        <v>3</v>
      </c>
      <c r="AQ31" s="0" t="n">
        <f aca="false">AVERAGE(I31,S31,AF31,AK31)</f>
        <v>1.5</v>
      </c>
      <c r="AR31" s="0" t="n">
        <f aca="false">AVERAGE(J31,T31,AG31,AL31)</f>
        <v>3.25</v>
      </c>
    </row>
    <row r="32" customFormat="false" ht="12.8" hidden="false" customHeight="false" outlineLevel="0" collapsed="false">
      <c r="A32" s="0" t="s">
        <v>106</v>
      </c>
      <c r="B32" s="4" t="s">
        <v>107</v>
      </c>
      <c r="C32" s="0" t="s">
        <v>44</v>
      </c>
      <c r="D32" s="0" t="n">
        <v>11</v>
      </c>
      <c r="E32" s="0" t="s">
        <v>44</v>
      </c>
      <c r="F32" s="0" t="n">
        <v>2</v>
      </c>
      <c r="G32" s="0" t="n">
        <v>4</v>
      </c>
      <c r="H32" s="0" t="n">
        <v>2</v>
      </c>
      <c r="I32" s="0" t="n">
        <v>2</v>
      </c>
      <c r="J32" s="0" t="n">
        <v>4</v>
      </c>
      <c r="K32" s="0" t="n">
        <v>3</v>
      </c>
      <c r="L32" s="0" t="n">
        <v>5</v>
      </c>
      <c r="M32" s="0" t="n">
        <v>3</v>
      </c>
      <c r="N32" s="0" t="n">
        <v>4</v>
      </c>
      <c r="O32" s="0" t="n">
        <v>1</v>
      </c>
      <c r="P32" s="0" t="n">
        <v>4</v>
      </c>
      <c r="Q32" s="0" t="n">
        <v>3</v>
      </c>
      <c r="R32" s="0" t="n">
        <v>2</v>
      </c>
      <c r="S32" s="0" t="n">
        <v>2</v>
      </c>
      <c r="T32" s="0" t="n">
        <v>3</v>
      </c>
      <c r="U32" s="0" t="n">
        <v>2</v>
      </c>
      <c r="V32" s="0" t="n">
        <v>3</v>
      </c>
      <c r="W32" s="0" t="n">
        <v>4</v>
      </c>
      <c r="X32" s="0" t="n">
        <v>3</v>
      </c>
      <c r="Y32" s="0" t="n">
        <v>2</v>
      </c>
      <c r="Z32" s="0" t="s">
        <v>65</v>
      </c>
      <c r="AA32" s="0" t="n">
        <v>20000</v>
      </c>
      <c r="AC32" s="0" t="n">
        <f aca="false">6-G32</f>
        <v>2</v>
      </c>
      <c r="AD32" s="0" t="n">
        <f aca="false">6-H32</f>
        <v>4</v>
      </c>
      <c r="AE32" s="0" t="n">
        <f aca="false">6-K32</f>
        <v>3</v>
      </c>
      <c r="AF32" s="0" t="n">
        <f aca="false">6-N32</f>
        <v>2</v>
      </c>
      <c r="AG32" s="0" t="n">
        <f aca="false">6-O32</f>
        <v>5</v>
      </c>
      <c r="AH32" s="0" t="n">
        <f aca="false">6-Q32</f>
        <v>3</v>
      </c>
      <c r="AI32" s="0" t="n">
        <f aca="false">6-R32</f>
        <v>4</v>
      </c>
      <c r="AJ32" s="0" t="n">
        <f aca="false">6-U32</f>
        <v>4</v>
      </c>
      <c r="AK32" s="0" t="n">
        <f aca="false">6-X32</f>
        <v>3</v>
      </c>
      <c r="AL32" s="0" t="n">
        <f aca="false">6-Y32</f>
        <v>4</v>
      </c>
      <c r="AN32" s="0" t="n">
        <f aca="false">AVERAGE(F32,P32,AE32,AJ32)</f>
        <v>3.25</v>
      </c>
      <c r="AO32" s="0" t="n">
        <f aca="false">AVERAGE(L32,V32,AC32,AH32)</f>
        <v>3.25</v>
      </c>
      <c r="AP32" s="0" t="n">
        <f aca="false">AVERAGE(H32,R32,AG32,AL32)</f>
        <v>3.25</v>
      </c>
      <c r="AQ32" s="0" t="n">
        <f aca="false">AVERAGE(I32,S32,AF32,AK32)</f>
        <v>2.25</v>
      </c>
      <c r="AR32" s="0" t="n">
        <f aca="false">AVERAGE(J32,T32,AG32,AL32)</f>
        <v>4</v>
      </c>
    </row>
    <row r="33" customFormat="false" ht="12.8" hidden="false" customHeight="false" outlineLevel="0" collapsed="false">
      <c r="A33" s="0" t="s">
        <v>108</v>
      </c>
      <c r="B33" s="4" t="s">
        <v>109</v>
      </c>
      <c r="C33" s="0" t="s">
        <v>44</v>
      </c>
      <c r="D33" s="0" t="n">
        <v>15</v>
      </c>
      <c r="E33" s="0" t="s">
        <v>44</v>
      </c>
      <c r="F33" s="0" t="n">
        <v>4</v>
      </c>
      <c r="G33" s="0" t="n">
        <v>3</v>
      </c>
      <c r="H33" s="0" t="n">
        <v>3</v>
      </c>
      <c r="I33" s="0" t="n">
        <v>3</v>
      </c>
      <c r="J33" s="0" t="n">
        <v>3</v>
      </c>
      <c r="K33" s="0" t="n">
        <v>2</v>
      </c>
      <c r="L33" s="0" t="n">
        <v>5</v>
      </c>
      <c r="M33" s="0" t="n">
        <v>3</v>
      </c>
      <c r="N33" s="0" t="n">
        <v>5</v>
      </c>
      <c r="O33" s="0" t="n">
        <v>3</v>
      </c>
      <c r="P33" s="0" t="n">
        <v>5</v>
      </c>
      <c r="Q33" s="0" t="n">
        <v>2</v>
      </c>
      <c r="R33" s="0" t="n">
        <v>3</v>
      </c>
      <c r="S33" s="0" t="n">
        <v>2</v>
      </c>
      <c r="T33" s="0" t="n">
        <v>3</v>
      </c>
      <c r="U33" s="0" t="n">
        <v>1</v>
      </c>
      <c r="V33" s="0" t="n">
        <v>3</v>
      </c>
      <c r="W33" s="0" t="n">
        <v>2</v>
      </c>
      <c r="X33" s="0" t="n">
        <v>3</v>
      </c>
      <c r="Y33" s="0" t="n">
        <v>2</v>
      </c>
      <c r="Z33" s="0" t="s">
        <v>65</v>
      </c>
      <c r="AA33" s="0" t="n">
        <v>20000</v>
      </c>
      <c r="AC33" s="0" t="n">
        <f aca="false">6-G33</f>
        <v>3</v>
      </c>
      <c r="AD33" s="0" t="n">
        <f aca="false">6-H33</f>
        <v>3</v>
      </c>
      <c r="AE33" s="0" t="n">
        <f aca="false">6-K33</f>
        <v>4</v>
      </c>
      <c r="AF33" s="0" t="n">
        <f aca="false">6-N33</f>
        <v>1</v>
      </c>
      <c r="AG33" s="0" t="n">
        <f aca="false">6-O33</f>
        <v>3</v>
      </c>
      <c r="AH33" s="0" t="n">
        <f aca="false">6-Q33</f>
        <v>4</v>
      </c>
      <c r="AI33" s="0" t="n">
        <f aca="false">6-R33</f>
        <v>3</v>
      </c>
      <c r="AJ33" s="0" t="n">
        <f aca="false">6-U33</f>
        <v>5</v>
      </c>
      <c r="AK33" s="0" t="n">
        <f aca="false">6-X33</f>
        <v>3</v>
      </c>
      <c r="AL33" s="0" t="n">
        <f aca="false">6-Y33</f>
        <v>4</v>
      </c>
      <c r="AN33" s="0" t="n">
        <f aca="false">AVERAGE(F33,P33,AE33,AJ33)</f>
        <v>4.5</v>
      </c>
      <c r="AO33" s="0" t="n">
        <f aca="false">AVERAGE(L33,V33,AC33,AH33)</f>
        <v>3.75</v>
      </c>
      <c r="AP33" s="0" t="n">
        <f aca="false">AVERAGE(H33,R33,AG33,AL33)</f>
        <v>3.25</v>
      </c>
      <c r="AQ33" s="0" t="n">
        <f aca="false">AVERAGE(I33,S33,AF33,AK33)</f>
        <v>2.25</v>
      </c>
      <c r="AR33" s="0" t="n">
        <f aca="false">AVERAGE(J33,T33,AG33,AL33)</f>
        <v>3.25</v>
      </c>
    </row>
    <row r="34" customFormat="false" ht="12.8" hidden="false" customHeight="false" outlineLevel="0" collapsed="false">
      <c r="A34" s="3" t="s">
        <v>110</v>
      </c>
      <c r="B34" s="4" t="s">
        <v>111</v>
      </c>
      <c r="C34" s="0" t="s">
        <v>44</v>
      </c>
      <c r="D34" s="0" t="n">
        <v>8</v>
      </c>
      <c r="E34" s="0" t="s">
        <v>44</v>
      </c>
      <c r="F34" s="0" t="n">
        <v>2</v>
      </c>
      <c r="G34" s="0" t="n">
        <v>2</v>
      </c>
      <c r="H34" s="0" t="n">
        <v>2</v>
      </c>
      <c r="I34" s="0" t="n">
        <v>2</v>
      </c>
      <c r="J34" s="0" t="n">
        <v>3</v>
      </c>
      <c r="K34" s="0" t="n">
        <v>4</v>
      </c>
      <c r="L34" s="0" t="n">
        <v>2</v>
      </c>
      <c r="M34" s="0" t="n">
        <v>4</v>
      </c>
      <c r="N34" s="0" t="n">
        <v>4</v>
      </c>
      <c r="O34" s="0" t="n">
        <v>3</v>
      </c>
      <c r="P34" s="0" t="n">
        <v>2</v>
      </c>
      <c r="Q34" s="0" t="n">
        <v>3</v>
      </c>
      <c r="R34" s="0" t="n">
        <v>4</v>
      </c>
      <c r="S34" s="0" t="n">
        <v>3</v>
      </c>
      <c r="T34" s="0" t="n">
        <v>2</v>
      </c>
      <c r="U34" s="0" t="n">
        <v>4</v>
      </c>
      <c r="V34" s="0" t="n">
        <v>3</v>
      </c>
      <c r="W34" s="0" t="n">
        <v>4</v>
      </c>
      <c r="X34" s="0" t="n">
        <v>4</v>
      </c>
      <c r="Y34" s="0" t="n">
        <v>4</v>
      </c>
      <c r="Z34" s="0" t="s">
        <v>65</v>
      </c>
      <c r="AA34" s="0" t="n">
        <v>21300</v>
      </c>
      <c r="AC34" s="0" t="n">
        <f aca="false">6-G34</f>
        <v>4</v>
      </c>
      <c r="AD34" s="0" t="n">
        <f aca="false">6-H34</f>
        <v>4</v>
      </c>
      <c r="AE34" s="0" t="n">
        <f aca="false">6-K34</f>
        <v>2</v>
      </c>
      <c r="AF34" s="0" t="n">
        <f aca="false">6-N34</f>
        <v>2</v>
      </c>
      <c r="AG34" s="0" t="n">
        <f aca="false">6-O34</f>
        <v>3</v>
      </c>
      <c r="AH34" s="0" t="n">
        <f aca="false">6-Q34</f>
        <v>3</v>
      </c>
      <c r="AI34" s="0" t="n">
        <f aca="false">6-R34</f>
        <v>2</v>
      </c>
      <c r="AJ34" s="0" t="n">
        <f aca="false">6-U34</f>
        <v>2</v>
      </c>
      <c r="AK34" s="0" t="n">
        <f aca="false">6-X34</f>
        <v>2</v>
      </c>
      <c r="AL34" s="0" t="n">
        <f aca="false">6-Y34</f>
        <v>2</v>
      </c>
      <c r="AN34" s="0" t="n">
        <f aca="false">AVERAGE(F34,P34,AE34,AJ34)</f>
        <v>2</v>
      </c>
      <c r="AO34" s="0" t="n">
        <f aca="false">AVERAGE(L34,V34,AC34,AH34)</f>
        <v>3</v>
      </c>
      <c r="AP34" s="0" t="n">
        <f aca="false">AVERAGE(H34,R34,AG34,AL34)</f>
        <v>2.75</v>
      </c>
      <c r="AQ34" s="0" t="n">
        <f aca="false">AVERAGE(I34,S34,AF34,AK34)</f>
        <v>2.25</v>
      </c>
      <c r="AR34" s="0" t="n">
        <f aca="false">AVERAGE(J34,T34,AG34,AL34)</f>
        <v>2.5</v>
      </c>
    </row>
    <row r="35" customFormat="false" ht="12.8" hidden="false" customHeight="false" outlineLevel="0" collapsed="false">
      <c r="A35" s="0" t="s">
        <v>112</v>
      </c>
      <c r="B35" s="4" t="s">
        <v>113</v>
      </c>
      <c r="C35" s="0" t="s">
        <v>44</v>
      </c>
      <c r="D35" s="0" t="n">
        <v>9</v>
      </c>
      <c r="E35" s="0" t="s">
        <v>44</v>
      </c>
      <c r="F35" s="0" t="n">
        <v>2</v>
      </c>
      <c r="G35" s="0" t="n">
        <v>4</v>
      </c>
      <c r="H35" s="0" t="n">
        <v>4</v>
      </c>
      <c r="I35" s="0" t="n">
        <v>2</v>
      </c>
      <c r="J35" s="0" t="n">
        <v>4</v>
      </c>
      <c r="K35" s="0" t="n">
        <v>2</v>
      </c>
      <c r="L35" s="0" t="n">
        <v>5</v>
      </c>
      <c r="M35" s="0" t="n">
        <v>2</v>
      </c>
      <c r="N35" s="0" t="n">
        <v>5</v>
      </c>
      <c r="O35" s="0" t="n">
        <v>1</v>
      </c>
      <c r="P35" s="0" t="n">
        <v>2</v>
      </c>
      <c r="Q35" s="0" t="n">
        <v>2</v>
      </c>
      <c r="R35" s="0" t="n">
        <v>3</v>
      </c>
      <c r="S35" s="0" t="n">
        <v>3</v>
      </c>
      <c r="T35" s="0" t="n">
        <v>4</v>
      </c>
      <c r="U35" s="0" t="n">
        <v>4</v>
      </c>
      <c r="V35" s="0" t="n">
        <v>2</v>
      </c>
      <c r="W35" s="0" t="n">
        <v>3</v>
      </c>
      <c r="X35" s="0" t="n">
        <v>4</v>
      </c>
      <c r="Y35" s="0" t="n">
        <v>1</v>
      </c>
      <c r="Z35" s="0" t="s">
        <v>48</v>
      </c>
      <c r="AA35" s="0" t="n">
        <v>22000</v>
      </c>
      <c r="AC35" s="0" t="n">
        <f aca="false">6-G35</f>
        <v>2</v>
      </c>
      <c r="AD35" s="0" t="n">
        <f aca="false">6-H35</f>
        <v>2</v>
      </c>
      <c r="AE35" s="0" t="n">
        <f aca="false">6-K35</f>
        <v>4</v>
      </c>
      <c r="AF35" s="0" t="n">
        <f aca="false">6-N35</f>
        <v>1</v>
      </c>
      <c r="AG35" s="0" t="n">
        <f aca="false">6-O35</f>
        <v>5</v>
      </c>
      <c r="AH35" s="0" t="n">
        <f aca="false">6-Q35</f>
        <v>4</v>
      </c>
      <c r="AI35" s="0" t="n">
        <f aca="false">6-R35</f>
        <v>3</v>
      </c>
      <c r="AJ35" s="0" t="n">
        <f aca="false">6-U35</f>
        <v>2</v>
      </c>
      <c r="AK35" s="0" t="n">
        <f aca="false">6-X35</f>
        <v>2</v>
      </c>
      <c r="AL35" s="0" t="n">
        <f aca="false">6-Y35</f>
        <v>5</v>
      </c>
      <c r="AN35" s="0" t="n">
        <f aca="false">AVERAGE(F35,P35,AE35,AJ35)</f>
        <v>2.5</v>
      </c>
      <c r="AO35" s="0" t="n">
        <f aca="false">AVERAGE(L35,V35,AC35,AH35)</f>
        <v>3.25</v>
      </c>
      <c r="AP35" s="0" t="n">
        <f aca="false">AVERAGE(H35,R35,AG35,AL35)</f>
        <v>4.25</v>
      </c>
      <c r="AQ35" s="0" t="n">
        <f aca="false">AVERAGE(I35,S35,AF35,AK35)</f>
        <v>2</v>
      </c>
      <c r="AR35" s="0" t="n">
        <f aca="false">AVERAGE(J35,T35,AG35,AL35)</f>
        <v>4.5</v>
      </c>
    </row>
    <row r="36" customFormat="false" ht="12.8" hidden="false" customHeight="false" outlineLevel="0" collapsed="false">
      <c r="A36" s="0" t="s">
        <v>114</v>
      </c>
      <c r="B36" s="4" t="s">
        <v>115</v>
      </c>
      <c r="C36" s="0" t="s">
        <v>44</v>
      </c>
      <c r="D36" s="0" t="n">
        <v>8</v>
      </c>
      <c r="E36" s="0" t="s">
        <v>44</v>
      </c>
      <c r="F36" s="0" t="n">
        <v>4</v>
      </c>
      <c r="G36" s="0" t="n">
        <v>2</v>
      </c>
      <c r="H36" s="0" t="n">
        <v>4</v>
      </c>
      <c r="I36" s="0" t="n">
        <v>3</v>
      </c>
      <c r="J36" s="0" t="n">
        <v>4</v>
      </c>
      <c r="K36" s="0" t="n">
        <v>4</v>
      </c>
      <c r="L36" s="0" t="n">
        <v>3</v>
      </c>
      <c r="M36" s="0" t="n">
        <v>1</v>
      </c>
      <c r="N36" s="0" t="n">
        <v>2</v>
      </c>
      <c r="O36" s="0" t="n">
        <v>1</v>
      </c>
      <c r="P36" s="0" t="n">
        <v>4</v>
      </c>
      <c r="Q36" s="0" t="n">
        <v>2</v>
      </c>
      <c r="R36" s="0" t="n">
        <v>4</v>
      </c>
      <c r="S36" s="0" t="n">
        <v>4</v>
      </c>
      <c r="T36" s="0" t="n">
        <v>5</v>
      </c>
      <c r="U36" s="0" t="n">
        <v>4</v>
      </c>
      <c r="V36" s="0" t="n">
        <v>4</v>
      </c>
      <c r="W36" s="0" t="n">
        <v>1</v>
      </c>
      <c r="X36" s="0" t="n">
        <v>1</v>
      </c>
      <c r="Y36" s="0" t="n">
        <v>2</v>
      </c>
      <c r="Z36" s="0" t="s">
        <v>65</v>
      </c>
      <c r="AA36" s="0" t="n">
        <v>22500</v>
      </c>
      <c r="AC36" s="0" t="n">
        <f aca="false">6-G36</f>
        <v>4</v>
      </c>
      <c r="AD36" s="0" t="n">
        <f aca="false">6-H36</f>
        <v>2</v>
      </c>
      <c r="AE36" s="0" t="n">
        <f aca="false">6-K36</f>
        <v>2</v>
      </c>
      <c r="AF36" s="0" t="n">
        <f aca="false">6-N36</f>
        <v>4</v>
      </c>
      <c r="AG36" s="0" t="n">
        <f aca="false">6-O36</f>
        <v>5</v>
      </c>
      <c r="AH36" s="0" t="n">
        <f aca="false">6-Q36</f>
        <v>4</v>
      </c>
      <c r="AI36" s="0" t="n">
        <f aca="false">6-R36</f>
        <v>2</v>
      </c>
      <c r="AJ36" s="0" t="n">
        <f aca="false">6-U36</f>
        <v>2</v>
      </c>
      <c r="AK36" s="0" t="n">
        <f aca="false">6-X36</f>
        <v>5</v>
      </c>
      <c r="AL36" s="0" t="n">
        <f aca="false">6-Y36</f>
        <v>4</v>
      </c>
      <c r="AN36" s="0" t="n">
        <f aca="false">AVERAGE(F36,P36,AE36,AJ36)</f>
        <v>3</v>
      </c>
      <c r="AO36" s="0" t="n">
        <f aca="false">AVERAGE(L36,V36,AC36,AH36)</f>
        <v>3.75</v>
      </c>
      <c r="AP36" s="0" t="n">
        <f aca="false">AVERAGE(H36,R36,AG36,AL36)</f>
        <v>4.25</v>
      </c>
      <c r="AQ36" s="0" t="n">
        <f aca="false">AVERAGE(I36,S36,AF36,AK36)</f>
        <v>4</v>
      </c>
      <c r="AR36" s="0" t="n">
        <f aca="false">AVERAGE(J36,T36,AG36,AL36)</f>
        <v>4.5</v>
      </c>
    </row>
    <row r="37" customFormat="false" ht="12.8" hidden="false" customHeight="false" outlineLevel="0" collapsed="false">
      <c r="A37" s="0" t="s">
        <v>116</v>
      </c>
      <c r="B37" s="4" t="s">
        <v>117</v>
      </c>
      <c r="C37" s="0" t="s">
        <v>44</v>
      </c>
      <c r="D37" s="0" t="n">
        <v>19</v>
      </c>
      <c r="E37" s="0" t="s">
        <v>44</v>
      </c>
      <c r="F37" s="0" t="n">
        <v>2</v>
      </c>
      <c r="G37" s="0" t="n">
        <v>2</v>
      </c>
      <c r="H37" s="0" t="n">
        <v>3</v>
      </c>
      <c r="I37" s="0" t="n">
        <v>2</v>
      </c>
      <c r="J37" s="0" t="n">
        <v>5</v>
      </c>
      <c r="K37" s="0" t="n">
        <v>3</v>
      </c>
      <c r="L37" s="0" t="n">
        <v>5</v>
      </c>
      <c r="M37" s="0" t="n">
        <v>3</v>
      </c>
      <c r="N37" s="0" t="n">
        <v>5</v>
      </c>
      <c r="O37" s="0" t="n">
        <v>1</v>
      </c>
      <c r="P37" s="0" t="n">
        <v>5</v>
      </c>
      <c r="Q37" s="0" t="n">
        <v>1</v>
      </c>
      <c r="R37" s="0" t="n">
        <v>1</v>
      </c>
      <c r="S37" s="0" t="n">
        <v>2</v>
      </c>
      <c r="T37" s="0" t="n">
        <v>3</v>
      </c>
      <c r="U37" s="0" t="n">
        <v>2</v>
      </c>
      <c r="V37" s="0" t="n">
        <v>4</v>
      </c>
      <c r="W37" s="0" t="n">
        <v>3</v>
      </c>
      <c r="X37" s="0" t="n">
        <v>3</v>
      </c>
      <c r="Y37" s="0" t="n">
        <v>1</v>
      </c>
      <c r="Z37" s="0" t="s">
        <v>48</v>
      </c>
      <c r="AA37" s="0" t="n">
        <v>23000</v>
      </c>
      <c r="AC37" s="0" t="n">
        <f aca="false">6-G37</f>
        <v>4</v>
      </c>
      <c r="AD37" s="0" t="n">
        <f aca="false">6-H37</f>
        <v>3</v>
      </c>
      <c r="AE37" s="0" t="n">
        <f aca="false">6-K37</f>
        <v>3</v>
      </c>
      <c r="AF37" s="0" t="n">
        <f aca="false">6-N37</f>
        <v>1</v>
      </c>
      <c r="AG37" s="0" t="n">
        <f aca="false">6-O37</f>
        <v>5</v>
      </c>
      <c r="AH37" s="0" t="n">
        <f aca="false">6-Q37</f>
        <v>5</v>
      </c>
      <c r="AI37" s="0" t="n">
        <f aca="false">6-R37</f>
        <v>5</v>
      </c>
      <c r="AJ37" s="0" t="n">
        <f aca="false">6-U37</f>
        <v>4</v>
      </c>
      <c r="AK37" s="0" t="n">
        <f aca="false">6-X37</f>
        <v>3</v>
      </c>
      <c r="AL37" s="0" t="n">
        <f aca="false">6-Y37</f>
        <v>5</v>
      </c>
      <c r="AN37" s="0" t="n">
        <f aca="false">AVERAGE(F37,P37,AE37,AJ37)</f>
        <v>3.5</v>
      </c>
      <c r="AO37" s="0" t="n">
        <f aca="false">AVERAGE(L37,V37,AC37,AH37)</f>
        <v>4.5</v>
      </c>
      <c r="AP37" s="0" t="n">
        <f aca="false">AVERAGE(H37,R37,AG37,AL37)</f>
        <v>3.5</v>
      </c>
      <c r="AQ37" s="0" t="n">
        <f aca="false">AVERAGE(I37,S37,AF37,AK37)</f>
        <v>2</v>
      </c>
      <c r="AR37" s="0" t="n">
        <f aca="false">AVERAGE(J37,T37,AG37,AL37)</f>
        <v>4.5</v>
      </c>
    </row>
    <row r="38" customFormat="false" ht="12.8" hidden="false" customHeight="false" outlineLevel="0" collapsed="false">
      <c r="A38" s="0" t="s">
        <v>118</v>
      </c>
      <c r="B38" s="4" t="s">
        <v>119</v>
      </c>
      <c r="C38" s="0" t="s">
        <v>44</v>
      </c>
      <c r="D38" s="0" t="n">
        <v>10</v>
      </c>
      <c r="E38" s="0" t="s">
        <v>44</v>
      </c>
      <c r="F38" s="0" t="n">
        <v>1</v>
      </c>
      <c r="G38" s="0" t="n">
        <v>5</v>
      </c>
      <c r="H38" s="0" t="n">
        <v>4</v>
      </c>
      <c r="I38" s="0" t="n">
        <v>2</v>
      </c>
      <c r="J38" s="0" t="n">
        <v>1</v>
      </c>
      <c r="K38" s="0" t="n">
        <v>5</v>
      </c>
      <c r="L38" s="0" t="n">
        <v>1</v>
      </c>
      <c r="M38" s="0" t="n">
        <v>2</v>
      </c>
      <c r="N38" s="0" t="n">
        <v>4</v>
      </c>
      <c r="O38" s="0" t="n">
        <v>1</v>
      </c>
      <c r="P38" s="0" t="n">
        <v>2</v>
      </c>
      <c r="Q38" s="0" t="n">
        <v>4</v>
      </c>
      <c r="R38" s="0" t="n">
        <v>4</v>
      </c>
      <c r="S38" s="0" t="n">
        <v>2</v>
      </c>
      <c r="T38" s="0" t="n">
        <v>3</v>
      </c>
      <c r="U38" s="0" t="n">
        <v>5</v>
      </c>
      <c r="V38" s="0" t="n">
        <v>2</v>
      </c>
      <c r="W38" s="0" t="n">
        <v>2</v>
      </c>
      <c r="X38" s="0" t="n">
        <v>4</v>
      </c>
      <c r="Y38" s="0" t="n">
        <v>4</v>
      </c>
      <c r="Z38" s="0" t="s">
        <v>65</v>
      </c>
      <c r="AA38" s="0" t="n">
        <v>28000</v>
      </c>
      <c r="AC38" s="0" t="n">
        <f aca="false">6-G38</f>
        <v>1</v>
      </c>
      <c r="AD38" s="0" t="n">
        <f aca="false">6-H38</f>
        <v>2</v>
      </c>
      <c r="AE38" s="0" t="n">
        <f aca="false">6-K38</f>
        <v>1</v>
      </c>
      <c r="AF38" s="0" t="n">
        <f aca="false">6-N38</f>
        <v>2</v>
      </c>
      <c r="AG38" s="0" t="n">
        <f aca="false">6-O38</f>
        <v>5</v>
      </c>
      <c r="AH38" s="0" t="n">
        <f aca="false">6-Q38</f>
        <v>2</v>
      </c>
      <c r="AI38" s="0" t="n">
        <f aca="false">6-R38</f>
        <v>2</v>
      </c>
      <c r="AJ38" s="0" t="n">
        <f aca="false">6-U38</f>
        <v>1</v>
      </c>
      <c r="AK38" s="0" t="n">
        <f aca="false">6-X38</f>
        <v>2</v>
      </c>
      <c r="AL38" s="0" t="n">
        <f aca="false">6-Y38</f>
        <v>2</v>
      </c>
      <c r="AN38" s="0" t="n">
        <f aca="false">AVERAGE(F38,P38,AE38,AJ38)</f>
        <v>1.25</v>
      </c>
      <c r="AO38" s="0" t="n">
        <f aca="false">AVERAGE(L38,V38,AC38,AH38)</f>
        <v>1.5</v>
      </c>
      <c r="AP38" s="0" t="n">
        <f aca="false">AVERAGE(H38,R38,AG38,AL38)</f>
        <v>3.75</v>
      </c>
      <c r="AQ38" s="0" t="n">
        <f aca="false">AVERAGE(I38,S38,AF38,AK38)</f>
        <v>2</v>
      </c>
      <c r="AR38" s="0" t="n">
        <f aca="false">AVERAGE(J38,T38,AG38,AL38)</f>
        <v>2.75</v>
      </c>
    </row>
    <row r="39" customFormat="false" ht="12.8" hidden="false" customHeight="false" outlineLevel="0" collapsed="false">
      <c r="A39" s="0" t="s">
        <v>120</v>
      </c>
      <c r="B39" s="4" t="s">
        <v>121</v>
      </c>
      <c r="C39" s="0" t="s">
        <v>44</v>
      </c>
      <c r="D39" s="0" t="n">
        <v>22</v>
      </c>
      <c r="E39" s="0" t="s">
        <v>44</v>
      </c>
      <c r="F39" s="0" t="n">
        <v>1</v>
      </c>
      <c r="G39" s="0" t="n">
        <v>5</v>
      </c>
      <c r="H39" s="0" t="n">
        <v>5</v>
      </c>
      <c r="I39" s="0" t="n">
        <v>4</v>
      </c>
      <c r="J39" s="0" t="n">
        <v>2</v>
      </c>
      <c r="K39" s="0" t="n">
        <v>5</v>
      </c>
      <c r="L39" s="0" t="n">
        <v>3</v>
      </c>
      <c r="M39" s="0" t="n">
        <v>4</v>
      </c>
      <c r="N39" s="0" t="n">
        <v>5</v>
      </c>
      <c r="O39" s="0" t="n">
        <v>1</v>
      </c>
      <c r="P39" s="0" t="n">
        <v>1</v>
      </c>
      <c r="Q39" s="0" t="n">
        <v>5</v>
      </c>
      <c r="R39" s="0" t="n">
        <v>4</v>
      </c>
      <c r="S39" s="0" t="n">
        <v>2</v>
      </c>
      <c r="T39" s="0" t="n">
        <v>4</v>
      </c>
      <c r="U39" s="0" t="n">
        <v>5</v>
      </c>
      <c r="V39" s="0" t="n">
        <v>2</v>
      </c>
      <c r="W39" s="0" t="n">
        <v>2</v>
      </c>
      <c r="X39" s="0" t="n">
        <v>2</v>
      </c>
      <c r="Y39" s="0" t="n">
        <v>4</v>
      </c>
      <c r="Z39" s="0" t="s">
        <v>65</v>
      </c>
      <c r="AA39" s="0" t="n">
        <v>33000</v>
      </c>
      <c r="AC39" s="0" t="n">
        <f aca="false">6-G39</f>
        <v>1</v>
      </c>
      <c r="AD39" s="0" t="n">
        <f aca="false">6-H39</f>
        <v>1</v>
      </c>
      <c r="AE39" s="0" t="n">
        <f aca="false">6-K39</f>
        <v>1</v>
      </c>
      <c r="AF39" s="0" t="n">
        <f aca="false">6-N39</f>
        <v>1</v>
      </c>
      <c r="AG39" s="0" t="n">
        <f aca="false">6-O39</f>
        <v>5</v>
      </c>
      <c r="AH39" s="0" t="n">
        <f aca="false">6-Q39</f>
        <v>1</v>
      </c>
      <c r="AI39" s="0" t="n">
        <f aca="false">6-R39</f>
        <v>2</v>
      </c>
      <c r="AJ39" s="0" t="n">
        <f aca="false">6-U39</f>
        <v>1</v>
      </c>
      <c r="AK39" s="0" t="n">
        <f aca="false">6-X39</f>
        <v>4</v>
      </c>
      <c r="AL39" s="0" t="n">
        <f aca="false">6-Y39</f>
        <v>2</v>
      </c>
      <c r="AN39" s="0" t="n">
        <f aca="false">AVERAGE(F39,P39,AE39,AJ39)</f>
        <v>1</v>
      </c>
      <c r="AO39" s="0" t="n">
        <f aca="false">AVERAGE(L39,V39,AC39,AH39)</f>
        <v>1.75</v>
      </c>
      <c r="AP39" s="0" t="n">
        <f aca="false">AVERAGE(H39,R39,AG39,AL39)</f>
        <v>4</v>
      </c>
      <c r="AQ39" s="0" t="n">
        <f aca="false">AVERAGE(I39,S39,AF39,AK39)</f>
        <v>2.75</v>
      </c>
      <c r="AR39" s="0" t="n">
        <f aca="false">AVERAGE(J39,T39,AG39,AL39)</f>
        <v>3.25</v>
      </c>
    </row>
    <row r="42" customFormat="false" ht="17.35" hidden="false" customHeight="false" outlineLevel="0" collapsed="false">
      <c r="A42" s="5" t="s">
        <v>122</v>
      </c>
    </row>
    <row r="43" customFormat="false" ht="12.8" hidden="false" customHeight="false" outlineLevel="0" collapsed="false">
      <c r="A43" s="6" t="s">
        <v>123</v>
      </c>
      <c r="B43" s="7" t="s">
        <v>124</v>
      </c>
      <c r="C43" s="6" t="s">
        <v>44</v>
      </c>
      <c r="D43" s="6" t="n">
        <v>12</v>
      </c>
      <c r="E43" s="6" t="s">
        <v>44</v>
      </c>
      <c r="F43" s="6" t="n">
        <v>3</v>
      </c>
      <c r="G43" s="6" t="n">
        <v>2</v>
      </c>
      <c r="H43" s="6" t="n">
        <v>2</v>
      </c>
      <c r="I43" s="6" t="n">
        <v>2</v>
      </c>
      <c r="J43" s="6" t="n">
        <v>4</v>
      </c>
      <c r="K43" s="6" t="n">
        <v>4</v>
      </c>
      <c r="L43" s="6" t="n">
        <v>4</v>
      </c>
      <c r="M43" s="6" t="n">
        <v>2</v>
      </c>
      <c r="N43" s="6" t="n">
        <v>4</v>
      </c>
      <c r="O43" s="6" t="n">
        <v>2</v>
      </c>
      <c r="P43" s="6" t="n">
        <v>3</v>
      </c>
      <c r="Q43" s="6" t="n">
        <v>2</v>
      </c>
      <c r="R43" s="6" t="n">
        <v>3</v>
      </c>
      <c r="S43" s="6" t="n">
        <v>2</v>
      </c>
      <c r="T43" s="6" t="n">
        <v>3</v>
      </c>
      <c r="U43" s="6" t="n">
        <v>4</v>
      </c>
      <c r="V43" s="6" t="n">
        <v>3</v>
      </c>
      <c r="W43" s="6" t="n">
        <v>2</v>
      </c>
      <c r="X43" s="6" t="n">
        <v>3</v>
      </c>
      <c r="Y43" s="6" t="n">
        <v>2</v>
      </c>
      <c r="Z43" s="6" t="s">
        <v>65</v>
      </c>
      <c r="AA43" s="6" t="n">
        <v>57000</v>
      </c>
      <c r="AB43" s="6"/>
      <c r="AC43" s="6" t="n">
        <f aca="false">6-G43</f>
        <v>4</v>
      </c>
      <c r="AD43" s="6" t="n">
        <f aca="false">6-H43</f>
        <v>4</v>
      </c>
      <c r="AE43" s="6" t="n">
        <f aca="false">6-K43</f>
        <v>2</v>
      </c>
      <c r="AF43" s="6" t="n">
        <f aca="false">6-N43</f>
        <v>2</v>
      </c>
      <c r="AG43" s="6" t="n">
        <f aca="false">6-O43</f>
        <v>4</v>
      </c>
      <c r="AH43" s="6" t="n">
        <f aca="false">6-Q43</f>
        <v>4</v>
      </c>
      <c r="AI43" s="6" t="n">
        <f aca="false">6-R43</f>
        <v>3</v>
      </c>
      <c r="AJ43" s="6" t="n">
        <f aca="false">6-U43</f>
        <v>2</v>
      </c>
      <c r="AK43" s="6" t="n">
        <f aca="false">6-X43</f>
        <v>3</v>
      </c>
      <c r="AL43" s="6" t="n">
        <f aca="false">6-Y43</f>
        <v>4</v>
      </c>
      <c r="AM43" s="6"/>
      <c r="AN43" s="6" t="n">
        <f aca="false">AVERAGE(F43,P43,AE43,AJ43)</f>
        <v>2.5</v>
      </c>
      <c r="AO43" s="6" t="n">
        <f aca="false">AVERAGE(L43,V43,AC43,AH43)</f>
        <v>3.75</v>
      </c>
      <c r="AP43" s="6" t="n">
        <f aca="false">AVERAGE(H43,R43,AG43,AL43)</f>
        <v>3.25</v>
      </c>
      <c r="AQ43" s="6" t="n">
        <f aca="false">AVERAGE(I43,S43,AF43,AK43)</f>
        <v>2.25</v>
      </c>
      <c r="AR43" s="6" t="n">
        <f aca="false">AVERAGE(J43,T43,AG43,AL43)</f>
        <v>3.75</v>
      </c>
    </row>
    <row r="44" customFormat="false" ht="12.8" hidden="false" customHeight="false" outlineLevel="0" collapsed="false">
      <c r="A44" s="6" t="s">
        <v>125</v>
      </c>
      <c r="B44" s="7" t="s">
        <v>126</v>
      </c>
      <c r="C44" s="6" t="s">
        <v>44</v>
      </c>
      <c r="D44" s="6" t="n">
        <v>14</v>
      </c>
      <c r="E44" s="6" t="s">
        <v>44</v>
      </c>
      <c r="F44" s="6" t="n">
        <v>5</v>
      </c>
      <c r="G44" s="6" t="n">
        <v>4</v>
      </c>
      <c r="H44" s="6" t="n">
        <v>4</v>
      </c>
      <c r="I44" s="6" t="n">
        <v>3</v>
      </c>
      <c r="J44" s="6" t="n">
        <v>5</v>
      </c>
      <c r="K44" s="6" t="n">
        <v>5</v>
      </c>
      <c r="L44" s="6" t="n">
        <v>2</v>
      </c>
      <c r="M44" s="6" t="n">
        <v>3</v>
      </c>
      <c r="N44" s="6" t="n">
        <v>2</v>
      </c>
      <c r="O44" s="6" t="n">
        <v>1</v>
      </c>
      <c r="P44" s="6" t="n">
        <v>5</v>
      </c>
      <c r="Q44" s="6" t="n">
        <v>2</v>
      </c>
      <c r="R44" s="6" t="n">
        <v>5</v>
      </c>
      <c r="S44" s="6" t="n">
        <v>5</v>
      </c>
      <c r="T44" s="6" t="n">
        <v>5</v>
      </c>
      <c r="U44" s="6" t="n">
        <v>4</v>
      </c>
      <c r="V44" s="6" t="n">
        <v>4</v>
      </c>
      <c r="W44" s="6" t="n">
        <v>3</v>
      </c>
      <c r="X44" s="6" t="n">
        <v>5</v>
      </c>
      <c r="Y44" s="6" t="n">
        <v>1</v>
      </c>
      <c r="Z44" s="6" t="s">
        <v>65</v>
      </c>
      <c r="AA44" s="6" t="n">
        <v>57300</v>
      </c>
      <c r="AB44" s="6"/>
      <c r="AC44" s="6" t="n">
        <f aca="false">6-G44</f>
        <v>2</v>
      </c>
      <c r="AD44" s="6" t="n">
        <f aca="false">6-H44</f>
        <v>2</v>
      </c>
      <c r="AE44" s="6" t="n">
        <f aca="false">6-K44</f>
        <v>1</v>
      </c>
      <c r="AF44" s="6" t="n">
        <f aca="false">6-N44</f>
        <v>4</v>
      </c>
      <c r="AG44" s="6" t="n">
        <f aca="false">6-O44</f>
        <v>5</v>
      </c>
      <c r="AH44" s="6" t="n">
        <f aca="false">6-Q44</f>
        <v>4</v>
      </c>
      <c r="AI44" s="6" t="n">
        <f aca="false">6-R44</f>
        <v>1</v>
      </c>
      <c r="AJ44" s="6" t="n">
        <f aca="false">6-U44</f>
        <v>2</v>
      </c>
      <c r="AK44" s="6" t="n">
        <f aca="false">6-X44</f>
        <v>1</v>
      </c>
      <c r="AL44" s="6" t="n">
        <f aca="false">6-Y44</f>
        <v>5</v>
      </c>
      <c r="AM44" s="6"/>
      <c r="AN44" s="6" t="n">
        <f aca="false">AVERAGE(F44,P44,AE44,AJ44)</f>
        <v>3.25</v>
      </c>
      <c r="AO44" s="6" t="n">
        <f aca="false">AVERAGE(L44,V44,AC44,AH44)</f>
        <v>3</v>
      </c>
      <c r="AP44" s="6" t="n">
        <f aca="false">AVERAGE(H44,R44,AG44,AL44)</f>
        <v>4.75</v>
      </c>
      <c r="AQ44" s="6" t="n">
        <f aca="false">AVERAGE(I44,S44,AF44,AK44)</f>
        <v>3.25</v>
      </c>
      <c r="AR44" s="6" t="n">
        <f aca="false">AVERAGE(J44,T44,AG44,AL44)</f>
        <v>5</v>
      </c>
    </row>
    <row r="45" customFormat="false" ht="12.8" hidden="false" customHeight="false" outlineLevel="0" collapsed="false">
      <c r="A45" s="8" t="s">
        <v>127</v>
      </c>
      <c r="B45" s="7" t="s">
        <v>128</v>
      </c>
      <c r="C45" s="6" t="s">
        <v>44</v>
      </c>
      <c r="D45" s="6" t="n">
        <v>8</v>
      </c>
      <c r="E45" s="6" t="s">
        <v>44</v>
      </c>
      <c r="F45" s="6" t="n">
        <v>2</v>
      </c>
      <c r="G45" s="6" t="n">
        <v>2</v>
      </c>
      <c r="H45" s="6" t="n">
        <v>3</v>
      </c>
      <c r="I45" s="6" t="n">
        <v>4</v>
      </c>
      <c r="J45" s="6" t="n">
        <v>3</v>
      </c>
      <c r="K45" s="6" t="n">
        <v>4</v>
      </c>
      <c r="L45" s="6" t="n">
        <v>4</v>
      </c>
      <c r="M45" s="6" t="n">
        <v>2</v>
      </c>
      <c r="N45" s="6" t="n">
        <v>4</v>
      </c>
      <c r="O45" s="6" t="n">
        <v>2</v>
      </c>
      <c r="P45" s="6" t="n">
        <v>3</v>
      </c>
      <c r="Q45" s="6" t="n">
        <v>2</v>
      </c>
      <c r="R45" s="6" t="n">
        <v>2</v>
      </c>
      <c r="S45" s="6" t="n">
        <v>4</v>
      </c>
      <c r="T45" s="6" t="n">
        <v>4</v>
      </c>
      <c r="U45" s="6" t="n">
        <v>4</v>
      </c>
      <c r="V45" s="6" t="n">
        <v>4</v>
      </c>
      <c r="W45" s="6" t="n">
        <v>3</v>
      </c>
      <c r="X45" s="6" t="n">
        <v>2</v>
      </c>
      <c r="Y45" s="6" t="n">
        <v>2</v>
      </c>
      <c r="Z45" s="6" t="s">
        <v>65</v>
      </c>
      <c r="AA45" s="6" t="n">
        <v>75000</v>
      </c>
      <c r="AB45" s="6"/>
      <c r="AC45" s="6" t="n">
        <f aca="false">6-G45</f>
        <v>4</v>
      </c>
      <c r="AD45" s="6" t="n">
        <f aca="false">6-H45</f>
        <v>3</v>
      </c>
      <c r="AE45" s="6" t="n">
        <f aca="false">6-K45</f>
        <v>2</v>
      </c>
      <c r="AF45" s="6" t="n">
        <f aca="false">6-N45</f>
        <v>2</v>
      </c>
      <c r="AG45" s="6" t="n">
        <f aca="false">6-O45</f>
        <v>4</v>
      </c>
      <c r="AH45" s="6" t="n">
        <f aca="false">6-Q45</f>
        <v>4</v>
      </c>
      <c r="AI45" s="6" t="n">
        <f aca="false">6-R45</f>
        <v>4</v>
      </c>
      <c r="AJ45" s="6" t="n">
        <f aca="false">6-U45</f>
        <v>2</v>
      </c>
      <c r="AK45" s="6" t="n">
        <f aca="false">6-X45</f>
        <v>4</v>
      </c>
      <c r="AL45" s="6" t="n">
        <f aca="false">6-Y45</f>
        <v>4</v>
      </c>
      <c r="AM45" s="6"/>
      <c r="AN45" s="6" t="n">
        <f aca="false">AVERAGE(F45,P45,AE45,AJ45)</f>
        <v>2.25</v>
      </c>
      <c r="AO45" s="6" t="n">
        <f aca="false">AVERAGE(L45,V45,AC45,AH45)</f>
        <v>4</v>
      </c>
      <c r="AP45" s="6" t="n">
        <f aca="false">AVERAGE(H45,R45,AG45,AL45)</f>
        <v>3.25</v>
      </c>
      <c r="AQ45" s="6" t="n">
        <f aca="false">AVERAGE(I45,S45,AF45,AK45)</f>
        <v>3.5</v>
      </c>
      <c r="AR45" s="6" t="n">
        <f aca="false">AVERAGE(J45,T45,AG45,AL45)</f>
        <v>3.75</v>
      </c>
    </row>
    <row r="46" customFormat="false" ht="12.8" hidden="false" customHeight="false" outlineLevel="0" collapsed="false">
      <c r="A46" s="6" t="s">
        <v>129</v>
      </c>
      <c r="B46" s="7" t="s">
        <v>130</v>
      </c>
      <c r="C46" s="6" t="s">
        <v>44</v>
      </c>
      <c r="D46" s="6" t="n">
        <v>8</v>
      </c>
      <c r="E46" s="6" t="s">
        <v>44</v>
      </c>
      <c r="F46" s="6" t="n">
        <v>4</v>
      </c>
      <c r="G46" s="6" t="n">
        <v>4</v>
      </c>
      <c r="H46" s="6" t="n">
        <v>5</v>
      </c>
      <c r="I46" s="6" t="n">
        <v>1</v>
      </c>
      <c r="J46" s="6" t="n">
        <v>3</v>
      </c>
      <c r="K46" s="6" t="n">
        <v>3</v>
      </c>
      <c r="L46" s="6" t="n">
        <v>2</v>
      </c>
      <c r="M46" s="6" t="n">
        <v>1</v>
      </c>
      <c r="N46" s="6" t="n">
        <v>5</v>
      </c>
      <c r="O46" s="6" t="n">
        <v>1</v>
      </c>
      <c r="P46" s="6" t="n">
        <v>4</v>
      </c>
      <c r="Q46" s="6" t="n">
        <v>4</v>
      </c>
      <c r="R46" s="6" t="n">
        <v>4</v>
      </c>
      <c r="S46" s="6" t="n">
        <v>2</v>
      </c>
      <c r="T46" s="6" t="n">
        <v>5</v>
      </c>
      <c r="U46" s="6" t="n">
        <v>2</v>
      </c>
      <c r="V46" s="6" t="n">
        <v>2</v>
      </c>
      <c r="W46" s="6" t="n">
        <v>2</v>
      </c>
      <c r="X46" s="6" t="n">
        <v>5</v>
      </c>
      <c r="Y46" s="6" t="n">
        <v>5</v>
      </c>
      <c r="Z46" s="6" t="s">
        <v>65</v>
      </c>
      <c r="AA46" s="6" t="n">
        <v>82700</v>
      </c>
      <c r="AB46" s="6"/>
      <c r="AC46" s="6" t="n">
        <f aca="false">6-G46</f>
        <v>2</v>
      </c>
      <c r="AD46" s="6" t="n">
        <f aca="false">6-H46</f>
        <v>1</v>
      </c>
      <c r="AE46" s="6" t="n">
        <f aca="false">6-K46</f>
        <v>3</v>
      </c>
      <c r="AF46" s="6" t="n">
        <f aca="false">6-N46</f>
        <v>1</v>
      </c>
      <c r="AG46" s="6" t="n">
        <f aca="false">6-O46</f>
        <v>5</v>
      </c>
      <c r="AH46" s="6" t="n">
        <f aca="false">6-Q46</f>
        <v>2</v>
      </c>
      <c r="AI46" s="6" t="n">
        <f aca="false">6-R46</f>
        <v>2</v>
      </c>
      <c r="AJ46" s="6" t="n">
        <f aca="false">6-U46</f>
        <v>4</v>
      </c>
      <c r="AK46" s="6" t="n">
        <f aca="false">6-X46</f>
        <v>1</v>
      </c>
      <c r="AL46" s="6" t="n">
        <f aca="false">6-Y46</f>
        <v>1</v>
      </c>
      <c r="AM46" s="6"/>
      <c r="AN46" s="6" t="n">
        <f aca="false">AVERAGE(F46,P46,AE46,AJ46)</f>
        <v>3.75</v>
      </c>
      <c r="AO46" s="6" t="n">
        <f aca="false">AVERAGE(L46,V46,AC46,AH46)</f>
        <v>2</v>
      </c>
      <c r="AP46" s="6" t="n">
        <f aca="false">AVERAGE(H46,R46,AG46,AL46)</f>
        <v>3.75</v>
      </c>
      <c r="AQ46" s="6" t="n">
        <f aca="false">AVERAGE(I46,S46,AF46,AK46)</f>
        <v>1.25</v>
      </c>
      <c r="AR46" s="6" t="n">
        <f aca="false">AVERAGE(J46,T46,AG46,AL46)</f>
        <v>3.5</v>
      </c>
    </row>
    <row r="47" customFormat="false" ht="12.8" hidden="false" customHeight="false" outlineLevel="0" collapsed="false">
      <c r="A47" s="6" t="s">
        <v>131</v>
      </c>
      <c r="B47" s="7" t="s">
        <v>132</v>
      </c>
      <c r="C47" s="6" t="s">
        <v>44</v>
      </c>
      <c r="D47" s="6" t="n">
        <v>12</v>
      </c>
      <c r="E47" s="6" t="s">
        <v>44</v>
      </c>
      <c r="F47" s="6" t="n">
        <v>3</v>
      </c>
      <c r="G47" s="6" t="n">
        <v>2</v>
      </c>
      <c r="H47" s="6" t="n">
        <v>3</v>
      </c>
      <c r="I47" s="6" t="n">
        <v>5</v>
      </c>
      <c r="J47" s="6" t="n">
        <v>4</v>
      </c>
      <c r="K47" s="6" t="n">
        <v>3</v>
      </c>
      <c r="L47" s="6" t="n">
        <v>4</v>
      </c>
      <c r="M47" s="6" t="n">
        <v>1</v>
      </c>
      <c r="N47" s="6" t="n">
        <v>3</v>
      </c>
      <c r="O47" s="6" t="n">
        <v>3</v>
      </c>
      <c r="P47" s="6" t="n">
        <v>3</v>
      </c>
      <c r="Q47" s="6" t="n">
        <v>4</v>
      </c>
      <c r="R47" s="6" t="n">
        <v>4</v>
      </c>
      <c r="S47" s="6" t="n">
        <v>4</v>
      </c>
      <c r="T47" s="6" t="n">
        <v>4</v>
      </c>
      <c r="U47" s="6" t="n">
        <v>2</v>
      </c>
      <c r="V47" s="6" t="n">
        <v>4</v>
      </c>
      <c r="W47" s="6" t="n">
        <v>3</v>
      </c>
      <c r="X47" s="6" t="n">
        <v>2</v>
      </c>
      <c r="Y47" s="6" t="n">
        <v>2</v>
      </c>
      <c r="Z47" s="6" t="s">
        <v>65</v>
      </c>
      <c r="AA47" s="6" t="n">
        <v>93000</v>
      </c>
      <c r="AB47" s="6"/>
      <c r="AC47" s="6" t="n">
        <f aca="false">6-G47</f>
        <v>4</v>
      </c>
      <c r="AD47" s="6" t="n">
        <f aca="false">6-H47</f>
        <v>3</v>
      </c>
      <c r="AE47" s="6" t="n">
        <f aca="false">6-K47</f>
        <v>3</v>
      </c>
      <c r="AF47" s="6" t="n">
        <f aca="false">6-N47</f>
        <v>3</v>
      </c>
      <c r="AG47" s="6" t="n">
        <f aca="false">6-O47</f>
        <v>3</v>
      </c>
      <c r="AH47" s="6" t="n">
        <f aca="false">6-Q47</f>
        <v>2</v>
      </c>
      <c r="AI47" s="6" t="n">
        <f aca="false">6-R47</f>
        <v>2</v>
      </c>
      <c r="AJ47" s="6" t="n">
        <f aca="false">6-U47</f>
        <v>4</v>
      </c>
      <c r="AK47" s="6" t="n">
        <f aca="false">6-X47</f>
        <v>4</v>
      </c>
      <c r="AL47" s="6" t="n">
        <f aca="false">6-Y47</f>
        <v>4</v>
      </c>
      <c r="AM47" s="6"/>
      <c r="AN47" s="6" t="n">
        <f aca="false">AVERAGE(F47,P47,AE47,AJ47)</f>
        <v>3.25</v>
      </c>
      <c r="AO47" s="6" t="n">
        <f aca="false">AVERAGE(L47,V47,AC47,AH47)</f>
        <v>3.5</v>
      </c>
      <c r="AP47" s="6" t="n">
        <f aca="false">AVERAGE(H47,R47,AG47,AL47)</f>
        <v>3.5</v>
      </c>
      <c r="AQ47" s="6" t="n">
        <f aca="false">AVERAGE(I47,S47,AF47,AK47)</f>
        <v>4</v>
      </c>
      <c r="AR47" s="6" t="n">
        <f aca="false">AVERAGE(J47,T47,AG47,AL47)</f>
        <v>3.75</v>
      </c>
    </row>
    <row r="48" customFormat="false" ht="12.8" hidden="false" customHeight="false" outlineLevel="0" collapsed="false">
      <c r="A48" s="6" t="s">
        <v>133</v>
      </c>
      <c r="B48" s="7" t="s">
        <v>134</v>
      </c>
      <c r="C48" s="6" t="s">
        <v>44</v>
      </c>
      <c r="D48" s="6" t="n">
        <v>16</v>
      </c>
      <c r="E48" s="6" t="s">
        <v>44</v>
      </c>
      <c r="F48" s="6" t="n">
        <v>2</v>
      </c>
      <c r="G48" s="6" t="n">
        <v>2</v>
      </c>
      <c r="H48" s="6" t="n">
        <v>4</v>
      </c>
      <c r="I48" s="6" t="n">
        <v>3</v>
      </c>
      <c r="J48" s="6" t="n">
        <v>3</v>
      </c>
      <c r="K48" s="6" t="n">
        <v>4</v>
      </c>
      <c r="L48" s="6" t="n">
        <v>4</v>
      </c>
      <c r="M48" s="6" t="n">
        <v>2</v>
      </c>
      <c r="N48" s="6" t="n">
        <v>3</v>
      </c>
      <c r="O48" s="6" t="n">
        <v>1</v>
      </c>
      <c r="P48" s="6" t="n">
        <v>2</v>
      </c>
      <c r="Q48" s="6" t="n">
        <v>2</v>
      </c>
      <c r="R48" s="6" t="n">
        <v>4</v>
      </c>
      <c r="S48" s="6" t="n">
        <v>3</v>
      </c>
      <c r="T48" s="6" t="n">
        <v>3</v>
      </c>
      <c r="U48" s="6" t="n">
        <v>5</v>
      </c>
      <c r="V48" s="6" t="n">
        <v>4</v>
      </c>
      <c r="W48" s="6" t="n">
        <v>3</v>
      </c>
      <c r="X48" s="6" t="n">
        <v>3</v>
      </c>
      <c r="Y48" s="6" t="n">
        <v>3</v>
      </c>
      <c r="Z48" s="6" t="s">
        <v>65</v>
      </c>
      <c r="AA48" s="6" t="n">
        <v>150000</v>
      </c>
      <c r="AB48" s="6"/>
      <c r="AC48" s="6" t="n">
        <f aca="false">6-G48</f>
        <v>4</v>
      </c>
      <c r="AD48" s="6" t="n">
        <f aca="false">6-H48</f>
        <v>2</v>
      </c>
      <c r="AE48" s="6" t="n">
        <f aca="false">6-K48</f>
        <v>2</v>
      </c>
      <c r="AF48" s="6" t="n">
        <f aca="false">6-N48</f>
        <v>3</v>
      </c>
      <c r="AG48" s="6" t="n">
        <f aca="false">6-O48</f>
        <v>5</v>
      </c>
      <c r="AH48" s="6" t="n">
        <f aca="false">6-Q48</f>
        <v>4</v>
      </c>
      <c r="AI48" s="6" t="n">
        <f aca="false">6-R48</f>
        <v>2</v>
      </c>
      <c r="AJ48" s="6" t="n">
        <f aca="false">6-U48</f>
        <v>1</v>
      </c>
      <c r="AK48" s="6" t="n">
        <f aca="false">6-X48</f>
        <v>3</v>
      </c>
      <c r="AL48" s="6" t="n">
        <f aca="false">6-Y48</f>
        <v>3</v>
      </c>
      <c r="AM48" s="6"/>
      <c r="AN48" s="6" t="n">
        <f aca="false">AVERAGE(F48,P48,AE48,AJ48)</f>
        <v>1.75</v>
      </c>
      <c r="AO48" s="6" t="n">
        <f aca="false">AVERAGE(L48,V48,AC48,AH48)</f>
        <v>4</v>
      </c>
      <c r="AP48" s="6" t="n">
        <f aca="false">AVERAGE(H48,R48,AG48,AL48)</f>
        <v>4</v>
      </c>
      <c r="AQ48" s="6" t="n">
        <f aca="false">AVERAGE(I48,S48,AF48,AK48)</f>
        <v>3</v>
      </c>
      <c r="AR48" s="6" t="n">
        <f aca="false">AVERAGE(J48,T48,AG48,AL48)</f>
        <v>3.5</v>
      </c>
    </row>
    <row r="49" customFormat="false" ht="12.8" hidden="false" customHeight="false" outlineLevel="0" collapsed="false">
      <c r="D49" s="1"/>
    </row>
    <row r="50" customFormat="false" ht="12.8" hidden="false" customHeight="false" outlineLevel="0" collapsed="false">
      <c r="D50" s="1"/>
    </row>
    <row r="51" customFormat="false" ht="12.8" hidden="false" customHeight="false" outlineLevel="0" collapsed="false">
      <c r="D51" s="1"/>
    </row>
    <row r="52" customFormat="false" ht="12.8" hidden="false" customHeight="false" outlineLevel="0" collapsed="false">
      <c r="A52" s="9" t="s">
        <v>135</v>
      </c>
      <c r="B52" s="9" t="s">
        <v>136</v>
      </c>
      <c r="C52" s="9" t="s">
        <v>137</v>
      </c>
      <c r="D52" s="1"/>
    </row>
    <row r="53" customFormat="false" ht="23.85" hidden="false" customHeight="false" outlineLevel="0" collapsed="false">
      <c r="A53" s="9" t="s">
        <v>138</v>
      </c>
      <c r="B53" s="1" t="s">
        <v>139</v>
      </c>
      <c r="C53" s="1" t="s">
        <v>140</v>
      </c>
      <c r="D53" s="1"/>
    </row>
    <row r="54" customFormat="false" ht="35.05" hidden="false" customHeight="false" outlineLevel="0" collapsed="false">
      <c r="A54" s="9" t="s">
        <v>138</v>
      </c>
      <c r="B54" s="1" t="s">
        <v>141</v>
      </c>
      <c r="C54" s="1" t="s">
        <v>140</v>
      </c>
      <c r="D54" s="1"/>
    </row>
    <row r="55" customFormat="false" ht="12.8" hidden="false" customHeight="false" outlineLevel="0" collapsed="false">
      <c r="A55" s="9" t="s">
        <v>138</v>
      </c>
      <c r="B55" s="1" t="s">
        <v>142</v>
      </c>
      <c r="C55" s="1" t="s">
        <v>143</v>
      </c>
      <c r="D55" s="1"/>
    </row>
    <row r="56" customFormat="false" ht="23.85" hidden="false" customHeight="false" outlineLevel="0" collapsed="false">
      <c r="A56" s="9" t="s">
        <v>138</v>
      </c>
      <c r="B56" s="1" t="s">
        <v>144</v>
      </c>
      <c r="C56" s="1" t="s">
        <v>143</v>
      </c>
      <c r="D56" s="1"/>
    </row>
    <row r="57" customFormat="false" ht="23.85" hidden="false" customHeight="false" outlineLevel="0" collapsed="false">
      <c r="A57" s="9" t="s">
        <v>145</v>
      </c>
      <c r="B57" s="1" t="s">
        <v>146</v>
      </c>
      <c r="C57" s="1" t="s">
        <v>140</v>
      </c>
      <c r="D57" s="1"/>
    </row>
    <row r="58" customFormat="false" ht="23.85" hidden="false" customHeight="false" outlineLevel="0" collapsed="false">
      <c r="A58" s="9" t="s">
        <v>145</v>
      </c>
      <c r="B58" s="1" t="s">
        <v>147</v>
      </c>
      <c r="C58" s="1" t="s">
        <v>140</v>
      </c>
      <c r="D58" s="1"/>
    </row>
    <row r="59" customFormat="false" ht="23.85" hidden="false" customHeight="false" outlineLevel="0" collapsed="false">
      <c r="A59" s="9" t="s">
        <v>145</v>
      </c>
      <c r="B59" s="1" t="s">
        <v>148</v>
      </c>
      <c r="C59" s="1" t="s">
        <v>143</v>
      </c>
      <c r="D59" s="1"/>
    </row>
    <row r="60" customFormat="false" ht="23.85" hidden="false" customHeight="false" outlineLevel="0" collapsed="false">
      <c r="A60" s="9" t="s">
        <v>145</v>
      </c>
      <c r="B60" s="1" t="s">
        <v>149</v>
      </c>
      <c r="C60" s="1" t="s">
        <v>143</v>
      </c>
      <c r="D60" s="1"/>
    </row>
    <row r="61" customFormat="false" ht="23.85" hidden="false" customHeight="false" outlineLevel="0" collapsed="false">
      <c r="A61" s="9" t="s">
        <v>150</v>
      </c>
      <c r="B61" s="1" t="s">
        <v>151</v>
      </c>
      <c r="C61" s="1" t="s">
        <v>140</v>
      </c>
      <c r="D61" s="1"/>
    </row>
    <row r="62" customFormat="false" ht="23.85" hidden="false" customHeight="false" outlineLevel="0" collapsed="false">
      <c r="A62" s="9" t="s">
        <v>150</v>
      </c>
      <c r="B62" s="1" t="s">
        <v>152</v>
      </c>
      <c r="C62" s="1" t="s">
        <v>140</v>
      </c>
      <c r="D62" s="1"/>
    </row>
    <row r="63" customFormat="false" ht="23.85" hidden="false" customHeight="false" outlineLevel="0" collapsed="false">
      <c r="A63" s="9" t="s">
        <v>150</v>
      </c>
      <c r="B63" s="1" t="s">
        <v>153</v>
      </c>
      <c r="C63" s="1" t="s">
        <v>143</v>
      </c>
      <c r="D63" s="1"/>
    </row>
    <row r="64" customFormat="false" ht="35.05" hidden="false" customHeight="false" outlineLevel="0" collapsed="false">
      <c r="A64" s="9" t="s">
        <v>150</v>
      </c>
      <c r="B64" s="1" t="s">
        <v>154</v>
      </c>
      <c r="C64" s="1" t="s">
        <v>143</v>
      </c>
      <c r="D64" s="1"/>
    </row>
    <row r="65" customFormat="false" ht="23.85" hidden="false" customHeight="false" outlineLevel="0" collapsed="false">
      <c r="A65" s="9" t="s">
        <v>155</v>
      </c>
      <c r="B65" s="1" t="s">
        <v>156</v>
      </c>
      <c r="C65" s="1" t="s">
        <v>140</v>
      </c>
      <c r="D65" s="1"/>
    </row>
    <row r="66" customFormat="false" ht="23.85" hidden="false" customHeight="false" outlineLevel="0" collapsed="false">
      <c r="A66" s="9" t="s">
        <v>155</v>
      </c>
      <c r="B66" s="1" t="s">
        <v>157</v>
      </c>
      <c r="C66" s="1" t="s">
        <v>140</v>
      </c>
      <c r="D66" s="1"/>
    </row>
    <row r="67" customFormat="false" ht="23.85" hidden="false" customHeight="false" outlineLevel="0" collapsed="false">
      <c r="A67" s="9" t="s">
        <v>155</v>
      </c>
      <c r="B67" s="1" t="s">
        <v>158</v>
      </c>
      <c r="C67" s="1" t="s">
        <v>143</v>
      </c>
      <c r="D67" s="1"/>
    </row>
    <row r="68" customFormat="false" ht="23.85" hidden="false" customHeight="false" outlineLevel="0" collapsed="false">
      <c r="A68" s="9" t="s">
        <v>155</v>
      </c>
      <c r="B68" s="1" t="s">
        <v>159</v>
      </c>
      <c r="C68" s="1" t="s">
        <v>143</v>
      </c>
    </row>
    <row r="69" customFormat="false" ht="23.85" hidden="false" customHeight="false" outlineLevel="0" collapsed="false">
      <c r="A69" s="9" t="s">
        <v>160</v>
      </c>
      <c r="B69" s="1" t="s">
        <v>161</v>
      </c>
      <c r="C69" s="1" t="s">
        <v>140</v>
      </c>
    </row>
    <row r="70" customFormat="false" ht="23.85" hidden="false" customHeight="false" outlineLevel="0" collapsed="false">
      <c r="A70" s="9" t="s">
        <v>160</v>
      </c>
      <c r="B70" s="1" t="s">
        <v>162</v>
      </c>
      <c r="C70" s="1" t="s">
        <v>140</v>
      </c>
    </row>
    <row r="71" customFormat="false" ht="35.05" hidden="false" customHeight="false" outlineLevel="0" collapsed="false">
      <c r="A71" s="9" t="s">
        <v>160</v>
      </c>
      <c r="B71" s="1" t="s">
        <v>163</v>
      </c>
      <c r="C71" s="1" t="s">
        <v>143</v>
      </c>
    </row>
    <row r="72" customFormat="false" ht="23.85" hidden="false" customHeight="false" outlineLevel="0" collapsed="false">
      <c r="A72" s="9" t="s">
        <v>160</v>
      </c>
      <c r="B72" s="1" t="s">
        <v>164</v>
      </c>
      <c r="C72" s="1" t="s">
        <v>143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76"/>
  <sheetViews>
    <sheetView showFormulas="false" showGridLines="true" showRowColHeaders="true" showZeros="true" rightToLeft="false" tabSelected="true" showOutlineSymbols="true" defaultGridColor="true" view="normal" topLeftCell="I1" colorId="64" zoomScale="100" zoomScaleNormal="100" zoomScalePageLayoutView="100" workbookViewId="0">
      <selection pane="topLeft" activeCell="E1" activeCellId="0" sqref="E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8.33"/>
    <col collapsed="false" customWidth="true" hidden="false" outlineLevel="0" max="5" min="5" style="0" width="18.08"/>
    <col collapsed="false" customWidth="true" hidden="false" outlineLevel="0" max="6" min="6" style="0" width="24.39"/>
    <col collapsed="false" customWidth="true" hidden="false" outlineLevel="0" max="8" min="7" style="0" width="25.85"/>
    <col collapsed="false" customWidth="true" hidden="false" outlineLevel="0" max="9" min="9" style="0" width="36.33"/>
    <col collapsed="false" customWidth="true" hidden="false" outlineLevel="0" max="10" min="10" style="0" width="20.78"/>
    <col collapsed="false" customWidth="true" hidden="false" outlineLevel="0" max="12" min="12" style="0" width="40.1"/>
    <col collapsed="false" customWidth="true" hidden="false" outlineLevel="0" max="14" min="14" style="0" width="26.35"/>
    <col collapsed="false" customWidth="true" hidden="false" outlineLevel="0" max="15" min="15" style="0" width="27.16"/>
    <col collapsed="false" customWidth="true" hidden="false" outlineLevel="0" max="16" min="16" style="0" width="37.8"/>
    <col collapsed="false" customWidth="true" hidden="false" outlineLevel="0" max="17" min="17" style="0" width="32.83"/>
    <col collapsed="false" customWidth="true" hidden="false" outlineLevel="0" max="18" min="18" style="0" width="26.89"/>
  </cols>
  <sheetData>
    <row r="1" customFormat="false" ht="12.8" hidden="false" customHeight="false" outlineLevel="0" collapsed="false">
      <c r="A1" s="0" t="str">
        <f aca="false">'Twój kod jest świetny, a co z T'!A1</f>
        <v>Submission ID</v>
      </c>
      <c r="C1" s="0" t="str">
        <f aca="false">'Twój kod jest świetny, a co z T'!AA1</f>
        <v>Zarobki</v>
      </c>
      <c r="D1" s="0" t="s">
        <v>165</v>
      </c>
      <c r="E1" s="0" t="str">
        <f aca="false">'Twój kod jest świetny, a co z T'!D1</f>
        <v> STAŻ PRACY</v>
      </c>
      <c r="F1" s="0" t="str">
        <f aca="false">'Twój kod jest świetny, a co z T'!AN1</f>
        <v>WYNIK_EKSTRAWERSJA</v>
      </c>
      <c r="G1" s="0" t="str">
        <f aca="false">'Twój kod jest świetny, a co z T'!AO1</f>
        <v>WYNIK_UGODOWOSC</v>
      </c>
      <c r="H1" s="0" t="str">
        <f aca="false">'Twój kod jest świetny, a co z T'!AP1</f>
        <v>WYNIK_SUMIENNOSC</v>
      </c>
      <c r="I1" s="0" t="str">
        <f aca="false">'Twój kod jest świetny, a co z T'!AQ1</f>
        <v>WYNIK_STABILNOSC_EMOCJONALNA</v>
      </c>
      <c r="J1" s="0" t="str">
        <f aca="false">'Twój kod jest świetny, a co z T'!AR1</f>
        <v>WYNIK_INTELEKT</v>
      </c>
    </row>
    <row r="2" customFormat="false" ht="17.35" hidden="false" customHeight="false" outlineLevel="0" collapsed="false">
      <c r="A2" s="0" t="str">
        <f aca="false">'Twój kod jest świetny, a co z T'!A2</f>
        <v>9oxqs3ejiynzbyrf5915oz9oxqs2ztbl</v>
      </c>
      <c r="C2" s="0" t="n">
        <f aca="false">'Twój kod jest świetny, a co z T'!AA2</f>
        <v>2000</v>
      </c>
      <c r="D2" s="0" t="n">
        <f aca="false">IF('Twój kod jest świetny, a co z T'!Z2 = "B2B", 1, 0)</f>
        <v>0</v>
      </c>
      <c r="E2" s="0" t="n">
        <f aca="false">'Twój kod jest świetny, a co z T'!D2</f>
        <v>1</v>
      </c>
      <c r="F2" s="0" t="n">
        <f aca="false">'Twój kod jest świetny, a co z T'!AN2</f>
        <v>3</v>
      </c>
      <c r="G2" s="0" t="n">
        <f aca="false">'Twój kod jest świetny, a co z T'!AO2</f>
        <v>2.5</v>
      </c>
      <c r="H2" s="0" t="n">
        <f aca="false">'Twój kod jest świetny, a co z T'!AP2</f>
        <v>2.75</v>
      </c>
      <c r="I2" s="0" t="n">
        <f aca="false">'Twój kod jest świetny, a co z T'!AQ2</f>
        <v>4.5</v>
      </c>
      <c r="J2" s="0" t="n">
        <f aca="false">'Twój kod jest świetny, a co z T'!AR2</f>
        <v>4.25</v>
      </c>
      <c r="L2" s="5" t="s">
        <v>166</v>
      </c>
    </row>
    <row r="3" customFormat="false" ht="12.8" hidden="false" customHeight="false" outlineLevel="0" collapsed="false">
      <c r="A3" s="0" t="str">
        <f aca="false">'Twój kod jest świetny, a co z T'!A3</f>
        <v>lep021q40n9ocwrns9lep0auifn6awaf</v>
      </c>
      <c r="C3" s="0" t="n">
        <f aca="false">'Twój kod jest świetny, a co z T'!AA3</f>
        <v>4100</v>
      </c>
      <c r="D3" s="0" t="n">
        <f aca="false">IF('Twój kod jest świetny, a co z T'!Z3 = "B2B", 1, 0)</f>
        <v>0</v>
      </c>
      <c r="E3" s="0" t="n">
        <f aca="false">'Twój kod jest świetny, a co z T'!D3</f>
        <v>1</v>
      </c>
      <c r="F3" s="0" t="n">
        <f aca="false">'Twój kod jest świetny, a co z T'!AN3</f>
        <v>3.75</v>
      </c>
      <c r="G3" s="0" t="n">
        <f aca="false">'Twój kod jest świetny, a co z T'!AO3</f>
        <v>3.75</v>
      </c>
      <c r="H3" s="0" t="n">
        <f aca="false">'Twój kod jest świetny, a co z T'!AP3</f>
        <v>2</v>
      </c>
      <c r="I3" s="0" t="n">
        <f aca="false">'Twój kod jest świetny, a co z T'!AQ3</f>
        <v>2.75</v>
      </c>
      <c r="J3" s="0" t="n">
        <f aca="false">'Twój kod jest świetny, a co z T'!AR3</f>
        <v>2.75</v>
      </c>
      <c r="L3" s="10" t="s">
        <v>167</v>
      </c>
    </row>
    <row r="4" customFormat="false" ht="12.8" hidden="false" customHeight="false" outlineLevel="0" collapsed="false">
      <c r="A4" s="0" t="str">
        <f aca="false">'Twój kod jest świetny, a co z T'!A4</f>
        <v>n13j7zr7jz37jwxf1ct0n13jmie4sp7f</v>
      </c>
      <c r="C4" s="0" t="n">
        <f aca="false">'Twój kod jest świetny, a co z T'!AA4</f>
        <v>5600</v>
      </c>
      <c r="D4" s="0" t="n">
        <f aca="false">IF('Twój kod jest świetny, a co z T'!Z4 = "B2B", 1, 0)</f>
        <v>0</v>
      </c>
      <c r="E4" s="0" t="n">
        <f aca="false">'Twój kod jest świetny, a co z T'!D4</f>
        <v>3</v>
      </c>
      <c r="F4" s="0" t="n">
        <f aca="false">'Twój kod jest świetny, a co z T'!AN4</f>
        <v>3.75</v>
      </c>
      <c r="G4" s="0" t="n">
        <f aca="false">'Twój kod jest świetny, a co z T'!AO4</f>
        <v>4</v>
      </c>
      <c r="H4" s="0" t="n">
        <f aca="false">'Twój kod jest świetny, a co z T'!AP4</f>
        <v>3</v>
      </c>
      <c r="I4" s="0" t="n">
        <f aca="false">'Twój kod jest świetny, a co z T'!AQ4</f>
        <v>4.25</v>
      </c>
      <c r="J4" s="0" t="n">
        <f aca="false">'Twój kod jest świetny, a co z T'!AR4</f>
        <v>4</v>
      </c>
      <c r="L4" s="0" t="s">
        <v>168</v>
      </c>
      <c r="M4" s="0" t="s">
        <v>169</v>
      </c>
    </row>
    <row r="5" customFormat="false" ht="12.8" hidden="false" customHeight="false" outlineLevel="0" collapsed="false">
      <c r="A5" s="0" t="str">
        <f aca="false">'Twój kod jest świetny, a co z T'!A5</f>
        <v>ODqZMZp</v>
      </c>
      <c r="C5" s="0" t="n">
        <f aca="false">'Twój kod jest świetny, a co z T'!AA5</f>
        <v>6500</v>
      </c>
      <c r="D5" s="0" t="n">
        <f aca="false">IF('Twój kod jest świetny, a co z T'!Z5 = "B2B", 1, 0)</f>
        <v>0</v>
      </c>
      <c r="E5" s="0" t="n">
        <f aca="false">'Twój kod jest świetny, a co z T'!D5</f>
        <v>2</v>
      </c>
      <c r="F5" s="0" t="n">
        <f aca="false">'Twój kod jest świetny, a co z T'!AN5</f>
        <v>2.5</v>
      </c>
      <c r="G5" s="0" t="n">
        <f aca="false">'Twój kod jest świetny, a co z T'!AO5</f>
        <v>3.75</v>
      </c>
      <c r="H5" s="0" t="n">
        <f aca="false">'Twój kod jest świetny, a co z T'!AP5</f>
        <v>3</v>
      </c>
      <c r="I5" s="0" t="n">
        <f aca="false">'Twój kod jest świetny, a co z T'!AQ5</f>
        <v>1.75</v>
      </c>
      <c r="J5" s="0" t="n">
        <f aca="false">'Twój kod jest świetny, a co z T'!AR5</f>
        <v>4</v>
      </c>
    </row>
    <row r="6" customFormat="false" ht="12.8" hidden="false" customHeight="false" outlineLevel="0" collapsed="false">
      <c r="A6" s="0" t="str">
        <f aca="false">'Twój kod jest świetny, a co z T'!A6</f>
        <v>nlchofm3ljohqlxnlcs1onfevjsvh5kg</v>
      </c>
      <c r="C6" s="0" t="n">
        <f aca="false">'Twój kod jest świetny, a co z T'!AA6</f>
        <v>6500</v>
      </c>
      <c r="D6" s="0" t="n">
        <f aca="false">IF('Twój kod jest świetny, a co z T'!Z6 = "B2B", 1, 0)</f>
        <v>0</v>
      </c>
      <c r="E6" s="0" t="n">
        <f aca="false">'Twój kod jest świetny, a co z T'!D6</f>
        <v>2</v>
      </c>
      <c r="F6" s="0" t="n">
        <f aca="false">'Twój kod jest świetny, a co z T'!AN6</f>
        <v>2.25</v>
      </c>
      <c r="G6" s="0" t="n">
        <f aca="false">'Twój kod jest świetny, a co z T'!AO6</f>
        <v>4</v>
      </c>
      <c r="H6" s="0" t="n">
        <f aca="false">'Twój kod jest świetny, a co z T'!AP6</f>
        <v>2.75</v>
      </c>
      <c r="I6" s="0" t="n">
        <f aca="false">'Twój kod jest świetny, a co z T'!AQ6</f>
        <v>2</v>
      </c>
      <c r="J6" s="0" t="n">
        <f aca="false">'Twój kod jest świetny, a co z T'!AR6</f>
        <v>3.75</v>
      </c>
      <c r="L6" s="0" t="s">
        <v>170</v>
      </c>
    </row>
    <row r="7" customFormat="false" ht="12.8" hidden="false" customHeight="false" outlineLevel="0" collapsed="false">
      <c r="A7" s="0" t="str">
        <f aca="false">'Twój kod jest świetny, a co z T'!A7</f>
        <v>q4QOvjg</v>
      </c>
      <c r="C7" s="0" t="n">
        <f aca="false">'Twój kod jest świetny, a co z T'!AA7</f>
        <v>7000</v>
      </c>
      <c r="D7" s="0" t="n">
        <f aca="false">IF('Twój kod jest świetny, a co z T'!Z7 = "B2B", 1, 0)</f>
        <v>0</v>
      </c>
      <c r="E7" s="0" t="n">
        <f aca="false">'Twój kod jest świetny, a co z T'!D7</f>
        <v>1.5</v>
      </c>
      <c r="F7" s="0" t="n">
        <f aca="false">'Twój kod jest świetny, a co z T'!AN7</f>
        <v>3</v>
      </c>
      <c r="G7" s="0" t="n">
        <f aca="false">'Twój kod jest świetny, a co z T'!AO7</f>
        <v>2.25</v>
      </c>
      <c r="H7" s="0" t="n">
        <f aca="false">'Twój kod jest świetny, a co z T'!AP7</f>
        <v>4.75</v>
      </c>
      <c r="I7" s="0" t="n">
        <f aca="false">'Twój kod jest świetny, a co z T'!AQ7</f>
        <v>3.5</v>
      </c>
      <c r="J7" s="0" t="n">
        <f aca="false">'Twój kod jest świetny, a co z T'!AR7</f>
        <v>4.5</v>
      </c>
      <c r="L7" s="0" t="n">
        <f aca="false" t="array" ref="L7:S11">LINEST($C$2:$C$39 , $D$2:$J$39 , 1 , 1)</f>
        <v>-501.388610568562</v>
      </c>
      <c r="M7" s="0" t="n">
        <v>-1487.67204556812</v>
      </c>
      <c r="N7" s="0" t="n">
        <v>1518.09673949366</v>
      </c>
      <c r="O7" s="0" t="n">
        <v>-2392.73505469691</v>
      </c>
      <c r="P7" s="0" t="n">
        <v>-406.274864959489</v>
      </c>
      <c r="Q7" s="0" t="n">
        <v>530.475757580515</v>
      </c>
      <c r="R7" s="0" t="n">
        <v>4622.80794755596</v>
      </c>
      <c r="S7" s="0" t="n">
        <v>18317.4387595773</v>
      </c>
    </row>
    <row r="8" customFormat="false" ht="12.8" hidden="false" customHeight="false" outlineLevel="0" collapsed="false">
      <c r="A8" s="0" t="str">
        <f aca="false">'Twój kod jest świetny, a co z T'!A8</f>
        <v>tdvdrzi1hphy71tdvd5tcgiyt37a4ktg</v>
      </c>
      <c r="C8" s="0" t="n">
        <f aca="false">'Twój kod jest świetny, a co z T'!AA8</f>
        <v>7000</v>
      </c>
      <c r="D8" s="0" t="n">
        <f aca="false">IF('Twój kod jest świetny, a co z T'!Z8 = "B2B", 1, 0)</f>
        <v>0</v>
      </c>
      <c r="E8" s="0" t="n">
        <f aca="false">'Twój kod jest świetny, a co z T'!D8</f>
        <v>1</v>
      </c>
      <c r="F8" s="0" t="n">
        <f aca="false">'Twój kod jest świetny, a co z T'!AN8</f>
        <v>3</v>
      </c>
      <c r="G8" s="0" t="n">
        <f aca="false">'Twój kod jest świetny, a co z T'!AO8</f>
        <v>4</v>
      </c>
      <c r="H8" s="0" t="n">
        <f aca="false">'Twój kod jest świetny, a co z T'!AP8</f>
        <v>2.25</v>
      </c>
      <c r="I8" s="0" t="n">
        <f aca="false">'Twój kod jest świetny, a co z T'!AQ8</f>
        <v>2.5</v>
      </c>
      <c r="J8" s="0" t="n">
        <f aca="false">'Twój kod jest świetny, a co z T'!AR8</f>
        <v>3.5</v>
      </c>
      <c r="L8" s="0" t="n">
        <v>1341.78683657755</v>
      </c>
      <c r="M8" s="0" t="n">
        <v>855.795863558347</v>
      </c>
      <c r="N8" s="0" t="n">
        <v>1324.33868119109</v>
      </c>
      <c r="O8" s="0" t="n">
        <v>1164.79212588151</v>
      </c>
      <c r="P8" s="0" t="n">
        <v>926.426519492032</v>
      </c>
      <c r="Q8" s="0" t="n">
        <v>123.125075529003</v>
      </c>
      <c r="R8" s="0" t="n">
        <v>1491.70698156353</v>
      </c>
      <c r="S8" s="0" t="n">
        <v>5773.033483225</v>
      </c>
    </row>
    <row r="9" customFormat="false" ht="12.8" hidden="false" customHeight="false" outlineLevel="0" collapsed="false">
      <c r="A9" s="0" t="str">
        <f aca="false">'Twój kod jest świetny, a co z T'!A9</f>
        <v>Bzoa7DY</v>
      </c>
      <c r="C9" s="0" t="n">
        <f aca="false">'Twój kod jest świetny, a co z T'!AA9</f>
        <v>8000</v>
      </c>
      <c r="D9" s="0" t="n">
        <f aca="false">IF('Twój kod jest świetny, a co z T'!Z9 = "B2B", 1, 0)</f>
        <v>0</v>
      </c>
      <c r="E9" s="0" t="n">
        <f aca="false">'Twój kod jest świetny, a co z T'!D9</f>
        <v>4</v>
      </c>
      <c r="F9" s="0" t="n">
        <f aca="false">'Twój kod jest świetny, a co z T'!AN9</f>
        <v>5</v>
      </c>
      <c r="G9" s="0" t="n">
        <f aca="false">'Twój kod jest świetny, a co z T'!AO9</f>
        <v>2.75</v>
      </c>
      <c r="H9" s="0" t="n">
        <f aca="false">'Twój kod jest świetny, a co z T'!AP9</f>
        <v>3.25</v>
      </c>
      <c r="I9" s="0" t="n">
        <f aca="false">'Twój kod jest świetny, a co z T'!AQ9</f>
        <v>3.25</v>
      </c>
      <c r="J9" s="0" t="n">
        <f aca="false">'Twój kod jest świetny, a co z T'!AR9</f>
        <v>5</v>
      </c>
      <c r="L9" s="0" t="n">
        <v>0.691728357905774</v>
      </c>
      <c r="M9" s="0" t="n">
        <v>4153.26434733321</v>
      </c>
      <c r="N9" s="0" t="e">
        <v>#N/A</v>
      </c>
      <c r="O9" s="0" t="e">
        <v>#N/A</v>
      </c>
      <c r="P9" s="0" t="e">
        <v>#N/A</v>
      </c>
      <c r="Q9" s="0" t="e">
        <v>#N/A</v>
      </c>
      <c r="R9" s="0" t="e">
        <v>#N/A</v>
      </c>
      <c r="S9" s="0" t="e">
        <v>#N/A</v>
      </c>
    </row>
    <row r="10" customFormat="false" ht="12.8" hidden="false" customHeight="false" outlineLevel="0" collapsed="false">
      <c r="A10" s="0" t="str">
        <f aca="false">'Twój kod jest świetny, a co z T'!A10</f>
        <v>xXbY2OG</v>
      </c>
      <c r="C10" s="0" t="n">
        <f aca="false">'Twój kod jest świetny, a co z T'!AA10</f>
        <v>9000</v>
      </c>
      <c r="D10" s="0" t="n">
        <f aca="false">IF('Twój kod jest świetny, a co z T'!Z10 = "B2B", 1, 0)</f>
        <v>0</v>
      </c>
      <c r="E10" s="0" t="n">
        <f aca="false">'Twój kod jest świetny, a co z T'!D10</f>
        <v>22</v>
      </c>
      <c r="F10" s="0" t="n">
        <f aca="false">'Twój kod jest świetny, a co z T'!AN10</f>
        <v>4.75</v>
      </c>
      <c r="G10" s="0" t="n">
        <f aca="false">'Twój kod jest świetny, a co z T'!AO10</f>
        <v>5</v>
      </c>
      <c r="H10" s="0" t="n">
        <f aca="false">'Twój kod jest świetny, a co z T'!AP10</f>
        <v>4.25</v>
      </c>
      <c r="I10" s="0" t="n">
        <f aca="false">'Twój kod jest świetny, a co z T'!AQ10</f>
        <v>3.5</v>
      </c>
      <c r="J10" s="0" t="n">
        <f aca="false">'Twój kod jest świetny, a co z T'!AR10</f>
        <v>4.25</v>
      </c>
      <c r="L10" s="0" t="n">
        <v>9.61668120094005</v>
      </c>
      <c r="M10" s="0" t="n">
        <v>30</v>
      </c>
      <c r="N10" s="0" t="e">
        <v>#N/A</v>
      </c>
      <c r="O10" s="0" t="e">
        <v>#N/A</v>
      </c>
      <c r="P10" s="0" t="e">
        <v>#N/A</v>
      </c>
      <c r="Q10" s="0" t="e">
        <v>#N/A</v>
      </c>
      <c r="R10" s="0" t="e">
        <v>#N/A</v>
      </c>
      <c r="S10" s="0" t="e">
        <v>#N/A</v>
      </c>
    </row>
    <row r="11" customFormat="false" ht="12.8" hidden="false" customHeight="false" outlineLevel="0" collapsed="false">
      <c r="A11" s="0" t="str">
        <f aca="false">'Twój kod jest świetny, a co z T'!A11</f>
        <v>gD88rk4</v>
      </c>
      <c r="C11" s="0" t="n">
        <f aca="false">'Twój kod jest świetny, a co z T'!AA11</f>
        <v>11000</v>
      </c>
      <c r="D11" s="0" t="n">
        <f aca="false">IF('Twój kod jest świetny, a co z T'!Z11 = "B2B", 1, 0)</f>
        <v>1</v>
      </c>
      <c r="E11" s="0" t="n">
        <f aca="false">'Twój kod jest świetny, a co z T'!D11</f>
        <v>7</v>
      </c>
      <c r="F11" s="0" t="n">
        <f aca="false">'Twój kod jest świetny, a co z T'!AN11</f>
        <v>3.25</v>
      </c>
      <c r="G11" s="0" t="n">
        <f aca="false">'Twój kod jest świetny, a co z T'!AO11</f>
        <v>4.75</v>
      </c>
      <c r="H11" s="0" t="n">
        <f aca="false">'Twój kod jest świetny, a co z T'!AP11</f>
        <v>3.75</v>
      </c>
      <c r="I11" s="0" t="n">
        <f aca="false">'Twój kod jest świetny, a co z T'!AQ11</f>
        <v>1.25</v>
      </c>
      <c r="J11" s="0" t="n">
        <f aca="false">'Twój kod jest świetny, a co z T'!AR11</f>
        <v>4.25</v>
      </c>
      <c r="L11" s="0" t="n">
        <v>1161187647.30881</v>
      </c>
      <c r="M11" s="0" t="n">
        <v>517488142.164874</v>
      </c>
      <c r="N11" s="0" t="e">
        <v>#N/A</v>
      </c>
      <c r="O11" s="0" t="e">
        <v>#N/A</v>
      </c>
      <c r="P11" s="0" t="e">
        <v>#N/A</v>
      </c>
      <c r="Q11" s="0" t="e">
        <v>#N/A</v>
      </c>
      <c r="R11" s="0" t="e">
        <v>#N/A</v>
      </c>
      <c r="S11" s="0" t="e">
        <v>#N/A</v>
      </c>
    </row>
    <row r="12" customFormat="false" ht="12.8" hidden="false" customHeight="false" outlineLevel="0" collapsed="false">
      <c r="A12" s="0" t="str">
        <f aca="false">'Twój kod jest świetny, a co z T'!A12</f>
        <v>7gd906mis9qr0rmud7gd9087wbt48xaj</v>
      </c>
      <c r="C12" s="0" t="n">
        <f aca="false">'Twój kod jest świetny, a co z T'!AA12</f>
        <v>11000</v>
      </c>
      <c r="D12" s="0" t="n">
        <f aca="false">IF('Twój kod jest świetny, a co z T'!Z12 = "B2B", 1, 0)</f>
        <v>0</v>
      </c>
      <c r="E12" s="0" t="n">
        <f aca="false">'Twój kod jest świetny, a co z T'!D12</f>
        <v>4</v>
      </c>
      <c r="F12" s="0" t="n">
        <f aca="false">'Twój kod jest świetny, a co z T'!AN12</f>
        <v>3.75</v>
      </c>
      <c r="G12" s="0" t="n">
        <f aca="false">'Twój kod jest świetny, a co z T'!AO12</f>
        <v>4</v>
      </c>
      <c r="H12" s="0" t="n">
        <f aca="false">'Twój kod jest świetny, a co z T'!AP12</f>
        <v>2.75</v>
      </c>
      <c r="I12" s="0" t="n">
        <f aca="false">'Twój kod jest świetny, a co z T'!AQ12</f>
        <v>2.5</v>
      </c>
      <c r="J12" s="0" t="n">
        <f aca="false">'Twój kod jest świetny, a co z T'!AR12</f>
        <v>4.25</v>
      </c>
    </row>
    <row r="13" customFormat="false" ht="12.8" hidden="false" customHeight="false" outlineLevel="0" collapsed="false">
      <c r="A13" s="0" t="str">
        <f aca="false">'Twój kod jest świetny, a co z T'!A13</f>
        <v>LZxZzNj</v>
      </c>
      <c r="C13" s="0" t="n">
        <f aca="false">'Twój kod jest świetny, a co z T'!AA13</f>
        <v>12000</v>
      </c>
      <c r="D13" s="0" t="n">
        <f aca="false">IF('Twój kod jest świetny, a co z T'!Z13 = "B2B", 1, 0)</f>
        <v>0</v>
      </c>
      <c r="E13" s="0" t="n">
        <f aca="false">'Twój kod jest świetny, a co z T'!D13</f>
        <v>5</v>
      </c>
      <c r="F13" s="0" t="n">
        <f aca="false">'Twój kod jest świetny, a co z T'!AN13</f>
        <v>2</v>
      </c>
      <c r="G13" s="0" t="n">
        <f aca="false">'Twój kod jest świetny, a co z T'!AO13</f>
        <v>2.5</v>
      </c>
      <c r="H13" s="0" t="n">
        <f aca="false">'Twój kod jest świetny, a co z T'!AP13</f>
        <v>3</v>
      </c>
      <c r="I13" s="0" t="n">
        <f aca="false">'Twój kod jest świetny, a co z T'!AQ13</f>
        <v>3</v>
      </c>
      <c r="J13" s="0" t="n">
        <f aca="false">'Twój kod jest świetny, a co z T'!AR13</f>
        <v>2.75</v>
      </c>
      <c r="L13" s="0" t="s">
        <v>171</v>
      </c>
    </row>
    <row r="14" customFormat="false" ht="12.8" hidden="false" customHeight="false" outlineLevel="0" collapsed="false">
      <c r="A14" s="0" t="str">
        <f aca="false">'Twój kod jest świetny, a co z T'!A14</f>
        <v>vG6GX6g</v>
      </c>
      <c r="C14" s="0" t="n">
        <f aca="false">'Twój kod jest świetny, a co z T'!AA14</f>
        <v>13000</v>
      </c>
      <c r="D14" s="0" t="n">
        <f aca="false">IF('Twój kod jest świetny, a co z T'!Z14 = "B2B", 1, 0)</f>
        <v>1</v>
      </c>
      <c r="E14" s="0" t="n">
        <f aca="false">'Twój kod jest świetny, a co z T'!D14</f>
        <v>5</v>
      </c>
      <c r="F14" s="0" t="n">
        <f aca="false">'Twój kod jest świetny, a co z T'!AN14</f>
        <v>2.25</v>
      </c>
      <c r="G14" s="0" t="n">
        <f aca="false">'Twój kod jest świetny, a co z T'!AO14</f>
        <v>3</v>
      </c>
      <c r="H14" s="0" t="n">
        <f aca="false">'Twój kod jest świetny, a co z T'!AP14</f>
        <v>3</v>
      </c>
      <c r="I14" s="0" t="n">
        <f aca="false">'Twój kod jest świetny, a co z T'!AQ14</f>
        <v>3.25</v>
      </c>
      <c r="J14" s="0" t="n">
        <f aca="false">'Twój kod jest świetny, a co z T'!AR14</f>
        <v>3.75</v>
      </c>
      <c r="L14" s="0" t="s">
        <v>172</v>
      </c>
      <c r="M14" s="0" t="n">
        <f aca="false">$L$9</f>
        <v>0.691728357905774</v>
      </c>
    </row>
    <row r="15" customFormat="false" ht="12.8" hidden="false" customHeight="false" outlineLevel="0" collapsed="false">
      <c r="A15" s="0" t="str">
        <f aca="false">'Twój kod jest świetny, a co z T'!A15</f>
        <v>680Ldje</v>
      </c>
      <c r="C15" s="0" t="n">
        <f aca="false">'Twój kod jest świetny, a co z T'!AA15</f>
        <v>13500</v>
      </c>
      <c r="D15" s="0" t="n">
        <f aca="false">IF('Twój kod jest świetny, a co z T'!Z15 = "B2B", 1, 0)</f>
        <v>1</v>
      </c>
      <c r="E15" s="0" t="n">
        <f aca="false">'Twój kod jest świetny, a co z T'!D15</f>
        <v>6</v>
      </c>
      <c r="F15" s="0" t="n">
        <f aca="false">'Twój kod jest świetny, a co z T'!AN15</f>
        <v>4</v>
      </c>
      <c r="G15" s="0" t="n">
        <f aca="false">'Twój kod jest świetny, a co z T'!AO15</f>
        <v>4.5</v>
      </c>
      <c r="H15" s="0" t="n">
        <f aca="false">'Twój kod jest świetny, a co z T'!AP15</f>
        <v>4</v>
      </c>
      <c r="I15" s="0" t="n">
        <f aca="false">'Twój kod jest świetny, a co z T'!AQ15</f>
        <v>2</v>
      </c>
      <c r="J15" s="0" t="n">
        <f aca="false">'Twój kod jest świetny, a co z T'!AR15</f>
        <v>3.75</v>
      </c>
      <c r="L15" s="0" t="s">
        <v>173</v>
      </c>
      <c r="M15" s="0" t="n">
        <f aca="false">$M$9</f>
        <v>4153.26434733321</v>
      </c>
    </row>
    <row r="16" customFormat="false" ht="12.8" hidden="false" customHeight="false" outlineLevel="0" collapsed="false">
      <c r="A16" s="0" t="str">
        <f aca="false">'Twój kod jest świetny, a co z T'!A16</f>
        <v>GxEKzkL</v>
      </c>
      <c r="C16" s="0" t="n">
        <f aca="false">'Twój kod jest świetny, a co z T'!AA16</f>
        <v>13500</v>
      </c>
      <c r="D16" s="0" t="n">
        <f aca="false">IF('Twój kod jest świetny, a co z T'!Z16 = "B2B", 1, 0)</f>
        <v>0</v>
      </c>
      <c r="E16" s="0" t="n">
        <f aca="false">'Twój kod jest świetny, a co z T'!D16</f>
        <v>9</v>
      </c>
      <c r="F16" s="0" t="n">
        <f aca="false">'Twój kod jest świetny, a co z T'!AN16</f>
        <v>2.75</v>
      </c>
      <c r="G16" s="0" t="n">
        <f aca="false">'Twój kod jest świetny, a co z T'!AO16</f>
        <v>4</v>
      </c>
      <c r="H16" s="0" t="n">
        <f aca="false">'Twój kod jest świetny, a co z T'!AP16</f>
        <v>3.75</v>
      </c>
      <c r="I16" s="0" t="n">
        <f aca="false">'Twój kod jest świetny, a co z T'!AQ16</f>
        <v>1.75</v>
      </c>
      <c r="J16" s="0" t="n">
        <f aca="false">'Twój kod jest świetny, a co z T'!AR16</f>
        <v>3</v>
      </c>
      <c r="L16" s="0" t="s">
        <v>174</v>
      </c>
      <c r="M16" s="0" t="n">
        <f aca="false">7</f>
        <v>7</v>
      </c>
    </row>
    <row r="17" customFormat="false" ht="12.8" hidden="false" customHeight="false" outlineLevel="0" collapsed="false">
      <c r="A17" s="0" t="str">
        <f aca="false">'Twój kod jest świetny, a co z T'!A17</f>
        <v>GxEKJrL</v>
      </c>
      <c r="C17" s="0" t="n">
        <f aca="false">'Twój kod jest świetny, a co z T'!AA17</f>
        <v>14000</v>
      </c>
      <c r="D17" s="0" t="n">
        <f aca="false">IF('Twój kod jest świetny, a co z T'!Z17 = "B2B", 1, 0)</f>
        <v>0</v>
      </c>
      <c r="E17" s="0" t="n">
        <f aca="false">'Twój kod jest świetny, a co z T'!D17</f>
        <v>8</v>
      </c>
      <c r="F17" s="0" t="n">
        <f aca="false">'Twój kod jest świetny, a co z T'!AN17</f>
        <v>1</v>
      </c>
      <c r="G17" s="0" t="n">
        <f aca="false">'Twój kod jest świetny, a co z T'!AO17</f>
        <v>3.25</v>
      </c>
      <c r="H17" s="0" t="n">
        <f aca="false">'Twój kod jest świetny, a co z T'!AP17</f>
        <v>3.5</v>
      </c>
      <c r="I17" s="0" t="n">
        <f aca="false">'Twój kod jest świetny, a co z T'!AQ17</f>
        <v>1.25</v>
      </c>
      <c r="J17" s="0" t="n">
        <f aca="false">'Twój kod jest świetny, a co z T'!AR17</f>
        <v>4.25</v>
      </c>
      <c r="L17" s="0" t="s">
        <v>175</v>
      </c>
      <c r="M17" s="0" t="n">
        <f aca="false">38</f>
        <v>38</v>
      </c>
    </row>
    <row r="18" customFormat="false" ht="12.8" hidden="false" customHeight="false" outlineLevel="0" collapsed="false">
      <c r="A18" s="0" t="str">
        <f aca="false">'Twój kod jest świetny, a co z T'!A18</f>
        <v>aQJeaVW</v>
      </c>
      <c r="C18" s="0" t="n">
        <f aca="false">'Twój kod jest świetny, a co z T'!AA18</f>
        <v>14000</v>
      </c>
      <c r="D18" s="0" t="n">
        <f aca="false">IF('Twój kod jest świetny, a co z T'!Z18 = "B2B", 1, 0)</f>
        <v>1</v>
      </c>
      <c r="E18" s="0" t="n">
        <f aca="false">'Twój kod jest świetny, a co z T'!D18</f>
        <v>8</v>
      </c>
      <c r="F18" s="0" t="n">
        <f aca="false">'Twój kod jest świetny, a co z T'!AN18</f>
        <v>2.75</v>
      </c>
      <c r="G18" s="0" t="n">
        <f aca="false">'Twój kod jest świetny, a co z T'!AO18</f>
        <v>3.75</v>
      </c>
      <c r="H18" s="0" t="n">
        <f aca="false">'Twój kod jest świetny, a co z T'!AP18</f>
        <v>3.5</v>
      </c>
      <c r="I18" s="0" t="n">
        <f aca="false">'Twój kod jest świetny, a co z T'!AQ18</f>
        <v>4</v>
      </c>
      <c r="J18" s="0" t="n">
        <f aca="false">'Twój kod jest świetny, a co z T'!AR18</f>
        <v>4.5</v>
      </c>
      <c r="L18" s="0" t="s">
        <v>176</v>
      </c>
      <c r="M18" s="0" t="n">
        <f aca="false">1 - (1 - $L$9)*($M$17 - 1)/($M$17 - $M$16 - 1)</f>
        <v>0.619798308083788</v>
      </c>
    </row>
    <row r="19" customFormat="false" ht="12.8" hidden="false" customHeight="false" outlineLevel="0" collapsed="false">
      <c r="A19" s="0" t="str">
        <f aca="false">'Twój kod jest świetny, a co z T'!A19</f>
        <v>b5R59Mo</v>
      </c>
      <c r="C19" s="0" t="n">
        <f aca="false">'Twój kod jest świetny, a co z T'!AA19</f>
        <v>15000</v>
      </c>
      <c r="D19" s="0" t="n">
        <f aca="false">IF('Twój kod jest świetny, a co z T'!Z19 = "B2B", 1, 0)</f>
        <v>1</v>
      </c>
      <c r="E19" s="0" t="n">
        <f aca="false">'Twój kod jest świetny, a co z T'!D19</f>
        <v>14</v>
      </c>
      <c r="F19" s="0" t="n">
        <f aca="false">'Twój kod jest świetny, a co z T'!AN19</f>
        <v>2.5</v>
      </c>
      <c r="G19" s="0" t="n">
        <f aca="false">'Twój kod jest świetny, a co z T'!AO19</f>
        <v>4</v>
      </c>
      <c r="H19" s="0" t="n">
        <f aca="false">'Twój kod jest świetny, a co z T'!AP19</f>
        <v>4</v>
      </c>
      <c r="I19" s="0" t="n">
        <f aca="false">'Twój kod jest świetny, a co z T'!AQ19</f>
        <v>2.25</v>
      </c>
      <c r="J19" s="0" t="n">
        <f aca="false">'Twój kod jest świetny, a co z T'!AR19</f>
        <v>4.25</v>
      </c>
    </row>
    <row r="20" customFormat="false" ht="12.8" hidden="false" customHeight="false" outlineLevel="0" collapsed="false">
      <c r="A20" s="0" t="str">
        <f aca="false">'Twój kod jest świetny, a co z T'!A20</f>
        <v>RGqJZEd</v>
      </c>
      <c r="C20" s="0" t="n">
        <f aca="false">'Twój kod jest świetny, a co z T'!AA20</f>
        <v>15000</v>
      </c>
      <c r="D20" s="0" t="n">
        <f aca="false">IF('Twój kod jest świetny, a co z T'!Z20 = "B2B", 1, 0)</f>
        <v>1</v>
      </c>
      <c r="E20" s="0" t="n">
        <f aca="false">'Twój kod jest świetny, a co z T'!D20</f>
        <v>5</v>
      </c>
      <c r="F20" s="0" t="n">
        <f aca="false">'Twój kod jest świetny, a co z T'!AN20</f>
        <v>1.75</v>
      </c>
      <c r="G20" s="0" t="n">
        <f aca="false">'Twój kod jest świetny, a co z T'!AO20</f>
        <v>3</v>
      </c>
      <c r="H20" s="0" t="n">
        <f aca="false">'Twój kod jest świetny, a co z T'!AP20</f>
        <v>3</v>
      </c>
      <c r="I20" s="0" t="n">
        <f aca="false">'Twój kod jest świetny, a co z T'!AQ20</f>
        <v>4</v>
      </c>
      <c r="J20" s="0" t="n">
        <f aca="false">'Twój kod jest świetny, a co z T'!AR20</f>
        <v>2.5</v>
      </c>
      <c r="L20" s="0" t="s">
        <v>177</v>
      </c>
    </row>
    <row r="21" customFormat="false" ht="12.8" hidden="false" customHeight="false" outlineLevel="0" collapsed="false">
      <c r="A21" s="0" t="str">
        <f aca="false">'Twój kod jest świetny, a co z T'!A21</f>
        <v>RGe2DrJ</v>
      </c>
      <c r="C21" s="0" t="n">
        <f aca="false">'Twój kod jest świetny, a co z T'!AA21</f>
        <v>15500</v>
      </c>
      <c r="D21" s="0" t="n">
        <f aca="false">IF('Twój kod jest świetny, a co z T'!Z21 = "B2B", 1, 0)</f>
        <v>0</v>
      </c>
      <c r="E21" s="0" t="n">
        <f aca="false">'Twój kod jest świetny, a co z T'!D21</f>
        <v>22</v>
      </c>
      <c r="F21" s="0" t="n">
        <f aca="false">'Twój kod jest świetny, a co z T'!AN21</f>
        <v>3.5</v>
      </c>
      <c r="G21" s="0" t="n">
        <f aca="false">'Twój kod jest świetny, a co z T'!AO21</f>
        <v>4.5</v>
      </c>
      <c r="H21" s="0" t="n">
        <f aca="false">'Twój kod jest świetny, a co z T'!AP21</f>
        <v>3</v>
      </c>
      <c r="I21" s="0" t="n">
        <f aca="false">'Twój kod jest świetny, a co z T'!AQ21</f>
        <v>2</v>
      </c>
      <c r="J21" s="0" t="n">
        <f aca="false">'Twój kod jest świetny, a co z T'!AR21</f>
        <v>3.75</v>
      </c>
      <c r="M21" s="0" t="s">
        <v>178</v>
      </c>
      <c r="N21" s="0" t="s">
        <v>179</v>
      </c>
      <c r="O21" s="0" t="s">
        <v>180</v>
      </c>
      <c r="P21" s="0" t="s">
        <v>181</v>
      </c>
      <c r="Q21" s="0" t="s">
        <v>182</v>
      </c>
    </row>
    <row r="22" customFormat="false" ht="12.8" hidden="false" customHeight="false" outlineLevel="0" collapsed="false">
      <c r="A22" s="0" t="str">
        <f aca="false">'Twój kod jest świetny, a co z T'!A22</f>
        <v>Ekor0LL</v>
      </c>
      <c r="C22" s="0" t="n">
        <f aca="false">'Twój kod jest świetny, a co z T'!AA22</f>
        <v>16000</v>
      </c>
      <c r="D22" s="0" t="n">
        <f aca="false">IF('Twój kod jest świetny, a co z T'!Z22 = "B2B", 1, 0)</f>
        <v>1</v>
      </c>
      <c r="E22" s="0" t="n">
        <f aca="false">'Twój kod jest świetny, a co z T'!D22</f>
        <v>10</v>
      </c>
      <c r="F22" s="0" t="n">
        <f aca="false">'Twój kod jest świetny, a co z T'!AN22</f>
        <v>1.25</v>
      </c>
      <c r="G22" s="0" t="n">
        <f aca="false">'Twój kod jest świetny, a co z T'!AO22</f>
        <v>2.5</v>
      </c>
      <c r="H22" s="0" t="n">
        <f aca="false">'Twój kod jest świetny, a co z T'!AP22</f>
        <v>2.75</v>
      </c>
      <c r="I22" s="0" t="n">
        <f aca="false">'Twój kod jest świetny, a co z T'!AQ22</f>
        <v>2.25</v>
      </c>
      <c r="J22" s="0" t="n">
        <f aca="false">'Twój kod jest świetny, a co z T'!AR22</f>
        <v>4</v>
      </c>
      <c r="L22" s="0" t="s">
        <v>167</v>
      </c>
      <c r="M22" s="0" t="n">
        <f aca="false">$M$16</f>
        <v>7</v>
      </c>
      <c r="N22" s="0" t="n">
        <f aca="false">$L$11</f>
        <v>1161187647.30881</v>
      </c>
      <c r="O22" s="0" t="n">
        <f aca="false">$L$11 / $M$22</f>
        <v>165883949.615544</v>
      </c>
      <c r="P22" s="0" t="n">
        <f aca="false">$L$10</f>
        <v>9.61668120094005</v>
      </c>
      <c r="Q22" s="0" t="n">
        <f aca="false">FDIST($L$10 , $M$22 , $M$10)</f>
        <v>3.17552016522645E-006</v>
      </c>
    </row>
    <row r="23" customFormat="false" ht="12.8" hidden="false" customHeight="false" outlineLevel="0" collapsed="false">
      <c r="A23" s="0" t="str">
        <f aca="false">'Twój kod jest świetny, a co z T'!A23</f>
        <v>VL7LQ2a</v>
      </c>
      <c r="C23" s="0" t="n">
        <f aca="false">'Twój kod jest świetny, a co z T'!AA23</f>
        <v>17000</v>
      </c>
      <c r="D23" s="0" t="n">
        <f aca="false">IF('Twój kod jest świetny, a co z T'!Z23 = "B2B", 1, 0)</f>
        <v>1</v>
      </c>
      <c r="E23" s="0" t="n">
        <f aca="false">'Twój kod jest świetny, a co z T'!D23</f>
        <v>7</v>
      </c>
      <c r="F23" s="0" t="n">
        <f aca="false">'Twój kod jest świetny, a co z T'!AN23</f>
        <v>2.75</v>
      </c>
      <c r="G23" s="0" t="n">
        <f aca="false">'Twój kod jest świetny, a co z T'!AO23</f>
        <v>3</v>
      </c>
      <c r="H23" s="0" t="n">
        <f aca="false">'Twój kod jest świetny, a co z T'!AP23</f>
        <v>3.5</v>
      </c>
      <c r="I23" s="0" t="n">
        <f aca="false">'Twój kod jest świetny, a co z T'!AQ23</f>
        <v>3</v>
      </c>
      <c r="J23" s="0" t="n">
        <f aca="false">'Twój kod jest świetny, a co z T'!AR23</f>
        <v>3.5</v>
      </c>
      <c r="L23" s="0" t="s">
        <v>183</v>
      </c>
      <c r="M23" s="0" t="n">
        <f aca="false">$M$10</f>
        <v>30</v>
      </c>
      <c r="N23" s="0" t="n">
        <f aca="false">$M$11</f>
        <v>517488142.164874</v>
      </c>
      <c r="O23" s="0" t="n">
        <f aca="false">$M$11 / $M$10</f>
        <v>17249604.7388291</v>
      </c>
    </row>
    <row r="24" customFormat="false" ht="12.8" hidden="false" customHeight="false" outlineLevel="0" collapsed="false">
      <c r="A24" s="0" t="str">
        <f aca="false">'Twój kod jest świetny, a co z T'!A24</f>
        <v>f1fa38mavsz07f1fa32x8sisbcgg328g</v>
      </c>
      <c r="C24" s="0" t="n">
        <f aca="false">'Twój kod jest świetny, a co z T'!AA24</f>
        <v>17000</v>
      </c>
      <c r="D24" s="0" t="n">
        <f aca="false">IF('Twój kod jest świetny, a co z T'!Z24 = "B2B", 1, 0)</f>
        <v>1</v>
      </c>
      <c r="E24" s="0" t="n">
        <f aca="false">'Twój kod jest świetny, a co z T'!D24</f>
        <v>5</v>
      </c>
      <c r="F24" s="0" t="n">
        <f aca="false">'Twój kod jest świetny, a co z T'!AN24</f>
        <v>2.75</v>
      </c>
      <c r="G24" s="0" t="n">
        <f aca="false">'Twój kod jest świetny, a co z T'!AO24</f>
        <v>3.75</v>
      </c>
      <c r="H24" s="0" t="n">
        <f aca="false">'Twój kod jest świetny, a co z T'!AP24</f>
        <v>3</v>
      </c>
      <c r="I24" s="0" t="n">
        <f aca="false">'Twój kod jest świetny, a co z T'!AQ24</f>
        <v>2.5</v>
      </c>
      <c r="J24" s="0" t="n">
        <f aca="false">'Twój kod jest świetny, a co z T'!AR24</f>
        <v>3.75</v>
      </c>
      <c r="L24" s="0" t="s">
        <v>184</v>
      </c>
      <c r="M24" s="0" t="n">
        <f aca="false">$M$22 + $M$10</f>
        <v>37</v>
      </c>
      <c r="N24" s="0" t="n">
        <f aca="false">$L$11 + $M$11</f>
        <v>1678675789.47368</v>
      </c>
    </row>
    <row r="25" customFormat="false" ht="12.8" hidden="false" customHeight="false" outlineLevel="0" collapsed="false">
      <c r="A25" s="0" t="str">
        <f aca="false">'Twój kod jest świetny, a co z T'!A25</f>
        <v>ja4ZeWJ</v>
      </c>
      <c r="C25" s="0" t="n">
        <f aca="false">'Twój kod jest świetny, a co z T'!AA25</f>
        <v>18000</v>
      </c>
      <c r="D25" s="0" t="n">
        <f aca="false">IF('Twój kod jest świetny, a co z T'!Z25 = "B2B", 1, 0)</f>
        <v>0</v>
      </c>
      <c r="E25" s="0" t="n">
        <f aca="false">'Twój kod jest świetny, a co z T'!D25</f>
        <v>8</v>
      </c>
      <c r="F25" s="0" t="n">
        <f aca="false">'Twój kod jest świetny, a co z T'!AN25</f>
        <v>2</v>
      </c>
      <c r="G25" s="0" t="n">
        <f aca="false">'Twój kod jest świetny, a co z T'!AO25</f>
        <v>3.25</v>
      </c>
      <c r="H25" s="0" t="n">
        <f aca="false">'Twój kod jest świetny, a co z T'!AP25</f>
        <v>3.25</v>
      </c>
      <c r="I25" s="0" t="n">
        <f aca="false">'Twój kod jest świetny, a co z T'!AQ25</f>
        <v>3.75</v>
      </c>
      <c r="J25" s="0" t="n">
        <f aca="false">'Twój kod jest świetny, a co z T'!AR25</f>
        <v>3.5</v>
      </c>
    </row>
    <row r="26" customFormat="false" ht="12.8" hidden="false" customHeight="false" outlineLevel="0" collapsed="false">
      <c r="A26" s="0" t="str">
        <f aca="false">'Twój kod jest świetny, a co z T'!A26</f>
        <v>zxBNpPE</v>
      </c>
      <c r="C26" s="0" t="n">
        <f aca="false">'Twój kod jest świetny, a co z T'!AA26</f>
        <v>18000</v>
      </c>
      <c r="D26" s="0" t="n">
        <f aca="false">IF('Twój kod jest świetny, a co z T'!Z26 = "B2B", 1, 0)</f>
        <v>1</v>
      </c>
      <c r="E26" s="0" t="n">
        <f aca="false">'Twój kod jest świetny, a co z T'!D26</f>
        <v>10</v>
      </c>
      <c r="F26" s="0" t="n">
        <f aca="false">'Twój kod jest świetny, a co z T'!AN26</f>
        <v>3.25</v>
      </c>
      <c r="G26" s="0" t="n">
        <f aca="false">'Twój kod jest świetny, a co z T'!AO26</f>
        <v>4.25</v>
      </c>
      <c r="H26" s="0" t="n">
        <f aca="false">'Twój kod jest świetny, a co z T'!AP26</f>
        <v>4.75</v>
      </c>
      <c r="I26" s="0" t="n">
        <f aca="false">'Twój kod jest świetny, a co z T'!AQ26</f>
        <v>1.5</v>
      </c>
      <c r="J26" s="0" t="n">
        <f aca="false">'Twój kod jest świetny, a co z T'!AR26</f>
        <v>4.5</v>
      </c>
      <c r="L26" s="0" t="s">
        <v>185</v>
      </c>
      <c r="M26" s="0" t="n">
        <v>0.95</v>
      </c>
    </row>
    <row r="27" customFormat="false" ht="12.8" hidden="false" customHeight="false" outlineLevel="0" collapsed="false">
      <c r="A27" s="0" t="str">
        <f aca="false">'Twój kod jest świetny, a co z T'!A27</f>
        <v>QK9K0Dp</v>
      </c>
      <c r="C27" s="0" t="n">
        <f aca="false">'Twój kod jest świetny, a co z T'!AA27</f>
        <v>19000</v>
      </c>
      <c r="D27" s="0" t="n">
        <f aca="false">IF('Twój kod jest świetny, a co z T'!Z27 = "B2B", 1, 0)</f>
        <v>1</v>
      </c>
      <c r="E27" s="0" t="n">
        <f aca="false">'Twój kod jest świetny, a co z T'!D27</f>
        <v>10</v>
      </c>
      <c r="F27" s="0" t="n">
        <f aca="false">'Twój kod jest świetny, a co z T'!AN27</f>
        <v>3.25</v>
      </c>
      <c r="G27" s="0" t="n">
        <f aca="false">'Twój kod jest świetny, a co z T'!AO27</f>
        <v>3.75</v>
      </c>
      <c r="H27" s="0" t="n">
        <f aca="false">'Twój kod jest świetny, a co z T'!AP27</f>
        <v>4.75</v>
      </c>
      <c r="I27" s="0" t="n">
        <f aca="false">'Twój kod jest świetny, a co z T'!AQ27</f>
        <v>4</v>
      </c>
      <c r="J27" s="0" t="n">
        <f aca="false">'Twój kod jest świetny, a co z T'!AR27</f>
        <v>4.5</v>
      </c>
    </row>
    <row r="28" customFormat="false" ht="12.8" hidden="false" customHeight="false" outlineLevel="0" collapsed="false">
      <c r="A28" s="0" t="str">
        <f aca="false">'Twój kod jest świetny, a co z T'!A28</f>
        <v>81Dz9BA</v>
      </c>
      <c r="C28" s="0" t="n">
        <f aca="false">'Twój kod jest świetny, a co z T'!AA28</f>
        <v>20000</v>
      </c>
      <c r="D28" s="0" t="n">
        <f aca="false">IF('Twój kod jest świetny, a co z T'!Z28 = "B2B", 1, 0)</f>
        <v>1</v>
      </c>
      <c r="E28" s="0" t="n">
        <f aca="false">'Twój kod jest świetny, a co z T'!D28</f>
        <v>8</v>
      </c>
      <c r="F28" s="0" t="n">
        <f aca="false">'Twój kod jest świetny, a co z T'!AN28</f>
        <v>3.5</v>
      </c>
      <c r="G28" s="0" t="n">
        <f aca="false">'Twój kod jest świetny, a co z T'!AO28</f>
        <v>4.25</v>
      </c>
      <c r="H28" s="0" t="n">
        <f aca="false">'Twój kod jest świetny, a co z T'!AP28</f>
        <v>3.25</v>
      </c>
      <c r="I28" s="0" t="n">
        <f aca="false">'Twój kod jest świetny, a co z T'!AQ28</f>
        <v>2.5</v>
      </c>
      <c r="J28" s="0" t="n">
        <f aca="false">'Twój kod jest świetny, a co z T'!AR28</f>
        <v>4.5</v>
      </c>
      <c r="M28" s="0" t="s">
        <v>186</v>
      </c>
      <c r="N28" s="0" t="s">
        <v>173</v>
      </c>
      <c r="O28" s="0" t="s">
        <v>187</v>
      </c>
      <c r="P28" s="0" t="s">
        <v>188</v>
      </c>
      <c r="Q28" s="0" t="str">
        <f aca="false">_xlfn.CONCAT("Lower " , INT($M$26 * 100) , "%")</f>
        <v>Lower 95%</v>
      </c>
      <c r="R28" s="0" t="str">
        <f aca="false">_xlfn.CONCAT("Upper " , INT($M$26 * 100) , "%")</f>
        <v>Upper 95%</v>
      </c>
    </row>
    <row r="29" customFormat="false" ht="12.8" hidden="false" customHeight="false" outlineLevel="0" collapsed="false">
      <c r="A29" s="0" t="str">
        <f aca="false">'Twój kod jest świetny, a co z T'!A29</f>
        <v>lb2rRG5</v>
      </c>
      <c r="C29" s="0" t="n">
        <f aca="false">'Twój kod jest świetny, a co z T'!AA29</f>
        <v>20000</v>
      </c>
      <c r="D29" s="0" t="n">
        <f aca="false">IF('Twój kod jest świetny, a co z T'!Z29 = "B2B", 1, 0)</f>
        <v>1</v>
      </c>
      <c r="E29" s="0" t="n">
        <f aca="false">'Twój kod jest świetny, a co z T'!D29</f>
        <v>23</v>
      </c>
      <c r="F29" s="0" t="n">
        <f aca="false">'Twój kod jest świetny, a co z T'!AN29</f>
        <v>1.25</v>
      </c>
      <c r="G29" s="0" t="n">
        <f aca="false">'Twój kod jest świetny, a co z T'!AO29</f>
        <v>3</v>
      </c>
      <c r="H29" s="0" t="n">
        <f aca="false">'Twój kod jest świetny, a co z T'!AP29</f>
        <v>3.75</v>
      </c>
      <c r="I29" s="0" t="n">
        <f aca="false">'Twój kod jest świetny, a co z T'!AQ29</f>
        <v>3.25</v>
      </c>
      <c r="J29" s="0" t="n">
        <f aca="false">'Twój kod jest świetny, a co z T'!AR29</f>
        <v>3.75</v>
      </c>
      <c r="L29" s="0" t="str">
        <f aca="false">"Intercept"</f>
        <v>Intercept</v>
      </c>
      <c r="M29" s="0" t="n">
        <f aca="false" t="array" ref="M29:M36">INDEX($L$7:$S$7, 1 , ROW($M$36)+1 - ROW())</f>
        <v>18317.4387595773</v>
      </c>
      <c r="N29" s="0" t="n">
        <f aca="false" t="array" ref="N29:N36">INDEX($L$8:$S$8, 1 , ROW($N$36)+1 - ROW())</f>
        <v>5773.033483225</v>
      </c>
      <c r="O29" s="0" t="n">
        <f aca="false" t="array" ref="O29:O36">$M$29:$M$36 / $N$29:$N$36</f>
        <v>3.17293132160124</v>
      </c>
      <c r="P29" s="0" t="n">
        <f aca="false" t="array" ref="P29:P36">TDIST(ABS($O$29:$O$36) , $M$10 , 2 )</f>
        <v>0.00347222700233167</v>
      </c>
      <c r="Q29" s="0" t="n">
        <f aca="false" t="array" ref="Q29:Q36">$M$29:$M$36 - $N$29:$N$36 * TINV(1 - $M$26 , $M$10)</f>
        <v>6527.33148748209</v>
      </c>
      <c r="R29" s="0" t="n">
        <f aca="false" t="array" ref="R29:R36">$M$29:$M$36 + $N$29:$N$36 * TINV(1 - $M$26 , $M$10)</f>
        <v>30107.5460316725</v>
      </c>
    </row>
    <row r="30" customFormat="false" ht="12.8" hidden="false" customHeight="false" outlineLevel="0" collapsed="false">
      <c r="A30" s="0" t="str">
        <f aca="false">'Twój kod jest świetny, a co z T'!A30</f>
        <v>b5R7LKe</v>
      </c>
      <c r="C30" s="0" t="n">
        <f aca="false">'Twój kod jest świetny, a co z T'!AA30</f>
        <v>20000</v>
      </c>
      <c r="D30" s="0" t="n">
        <f aca="false">IF('Twój kod jest świetny, a co z T'!Z30 = "B2B", 1, 0)</f>
        <v>0</v>
      </c>
      <c r="E30" s="0" t="n">
        <f aca="false">'Twój kod jest świetny, a co z T'!D30</f>
        <v>14</v>
      </c>
      <c r="F30" s="0" t="n">
        <f aca="false">'Twój kod jest świetny, a co z T'!AN30</f>
        <v>3.75</v>
      </c>
      <c r="G30" s="0" t="n">
        <f aca="false">'Twój kod jest świetny, a co z T'!AO30</f>
        <v>3.5</v>
      </c>
      <c r="H30" s="0" t="n">
        <f aca="false">'Twój kod jest świetny, a co z T'!AP30</f>
        <v>3.5</v>
      </c>
      <c r="I30" s="0" t="n">
        <f aca="false">'Twój kod jest świetny, a co z T'!AQ30</f>
        <v>2.5</v>
      </c>
      <c r="J30" s="0" t="n">
        <f aca="false">'Twój kod jest świetny, a co z T'!AR30</f>
        <v>4.5</v>
      </c>
      <c r="L30" s="0" t="str">
        <f aca="false">$D$1</f>
        <v>CZY_B2B</v>
      </c>
      <c r="M30" s="0" t="n">
        <v>4622.80794755596</v>
      </c>
      <c r="N30" s="0" t="n">
        <v>1491.70698156353</v>
      </c>
      <c r="O30" s="0" t="n">
        <v>3.0990053708206</v>
      </c>
      <c r="P30" s="0" t="n">
        <v>0.00419509964737799</v>
      </c>
      <c r="Q30" s="0" t="n">
        <v>1576.33586623651</v>
      </c>
      <c r="R30" s="0" t="n">
        <v>7669.28002887541</v>
      </c>
    </row>
    <row r="31" customFormat="false" ht="12.8" hidden="false" customHeight="false" outlineLevel="0" collapsed="false">
      <c r="A31" s="0" t="str">
        <f aca="false">'Twój kod jest świetny, a co z T'!A31</f>
        <v>LZxvKzp</v>
      </c>
      <c r="C31" s="0" t="n">
        <f aca="false">'Twój kod jest świetny, a co z T'!AA31</f>
        <v>20000</v>
      </c>
      <c r="D31" s="0" t="n">
        <f aca="false">IF('Twój kod jest świetny, a co z T'!Z31 = "B2B", 1, 0)</f>
        <v>1</v>
      </c>
      <c r="E31" s="0" t="n">
        <f aca="false">'Twój kod jest świetny, a co z T'!D31</f>
        <v>6</v>
      </c>
      <c r="F31" s="0" t="n">
        <f aca="false">'Twój kod jest świetny, a co z T'!AN31</f>
        <v>1</v>
      </c>
      <c r="G31" s="0" t="n">
        <f aca="false">'Twój kod jest świetny, a co z T'!AO31</f>
        <v>3.25</v>
      </c>
      <c r="H31" s="0" t="n">
        <f aca="false">'Twój kod jest świetny, a co z T'!AP31</f>
        <v>3</v>
      </c>
      <c r="I31" s="0" t="n">
        <f aca="false">'Twój kod jest świetny, a co z T'!AQ31</f>
        <v>1.5</v>
      </c>
      <c r="J31" s="0" t="n">
        <f aca="false">'Twój kod jest świetny, a co z T'!AR31</f>
        <v>3.25</v>
      </c>
      <c r="L31" s="0" t="str">
        <f aca="false">$E$1</f>
        <v> STAŻ PRACY</v>
      </c>
      <c r="M31" s="0" t="n">
        <v>530.475757580515</v>
      </c>
      <c r="N31" s="0" t="n">
        <v>123.125075529003</v>
      </c>
      <c r="O31" s="0" t="n">
        <v>4.30842990594194</v>
      </c>
      <c r="P31" s="0" t="n">
        <v>0.000162588268320537</v>
      </c>
      <c r="Q31" s="0" t="n">
        <v>279.020807147624</v>
      </c>
      <c r="R31" s="0" t="n">
        <v>781.930708013406</v>
      </c>
    </row>
    <row r="32" customFormat="false" ht="12.8" hidden="false" customHeight="false" outlineLevel="0" collapsed="false">
      <c r="A32" s="0" t="str">
        <f aca="false">'Twój kod jest świetny, a co z T'!A32</f>
        <v>EkVNWoA</v>
      </c>
      <c r="C32" s="0" t="n">
        <f aca="false">'Twój kod jest świetny, a co z T'!AA32</f>
        <v>20000</v>
      </c>
      <c r="D32" s="0" t="n">
        <f aca="false">IF('Twój kod jest świetny, a co z T'!Z32 = "B2B", 1, 0)</f>
        <v>1</v>
      </c>
      <c r="E32" s="0" t="n">
        <f aca="false">'Twój kod jest świetny, a co z T'!D32</f>
        <v>11</v>
      </c>
      <c r="F32" s="0" t="n">
        <f aca="false">'Twój kod jest świetny, a co z T'!AN32</f>
        <v>3.25</v>
      </c>
      <c r="G32" s="0" t="n">
        <f aca="false">'Twój kod jest świetny, a co z T'!AO32</f>
        <v>3.25</v>
      </c>
      <c r="H32" s="0" t="n">
        <f aca="false">'Twój kod jest świetny, a co z T'!AP32</f>
        <v>3.25</v>
      </c>
      <c r="I32" s="0" t="n">
        <f aca="false">'Twój kod jest świetny, a co z T'!AQ32</f>
        <v>2.25</v>
      </c>
      <c r="J32" s="0" t="n">
        <f aca="false">'Twój kod jest świetny, a co z T'!AR32</f>
        <v>4</v>
      </c>
      <c r="L32" s="0" t="str">
        <f aca="false">$F$1</f>
        <v>WYNIK_EKSTRAWERSJA</v>
      </c>
      <c r="M32" s="0" t="n">
        <v>-406.274864959489</v>
      </c>
      <c r="N32" s="0" t="n">
        <v>926.426519492032</v>
      </c>
      <c r="O32" s="0" t="n">
        <v>-0.438539761558481</v>
      </c>
      <c r="P32" s="0" t="n">
        <v>0.664137044392958</v>
      </c>
      <c r="Q32" s="0" t="n">
        <v>-2298.29022850509</v>
      </c>
      <c r="R32" s="0" t="n">
        <v>1485.74049858611</v>
      </c>
    </row>
    <row r="33" customFormat="false" ht="12.8" hidden="false" customHeight="false" outlineLevel="0" collapsed="false">
      <c r="A33" s="0" t="str">
        <f aca="false">'Twój kod jest świetny, a co z T'!A33</f>
        <v>pbq90Pq</v>
      </c>
      <c r="C33" s="0" t="n">
        <f aca="false">'Twój kod jest świetny, a co z T'!AA33</f>
        <v>20000</v>
      </c>
      <c r="D33" s="0" t="n">
        <f aca="false">IF('Twój kod jest świetny, a co z T'!Z33 = "B2B", 1, 0)</f>
        <v>1</v>
      </c>
      <c r="E33" s="0" t="n">
        <f aca="false">'Twój kod jest świetny, a co z T'!D33</f>
        <v>15</v>
      </c>
      <c r="F33" s="0" t="n">
        <f aca="false">'Twój kod jest świetny, a co z T'!AN33</f>
        <v>4.5</v>
      </c>
      <c r="G33" s="0" t="n">
        <f aca="false">'Twój kod jest świetny, a co z T'!AO33</f>
        <v>3.75</v>
      </c>
      <c r="H33" s="0" t="n">
        <f aca="false">'Twój kod jest świetny, a co z T'!AP33</f>
        <v>3.25</v>
      </c>
      <c r="I33" s="0" t="n">
        <f aca="false">'Twój kod jest świetny, a co z T'!AQ33</f>
        <v>2.25</v>
      </c>
      <c r="J33" s="0" t="n">
        <f aca="false">'Twój kod jest świetny, a co z T'!AR33</f>
        <v>3.25</v>
      </c>
      <c r="L33" s="0" t="str">
        <f aca="false">$G$1</f>
        <v>WYNIK_UGODOWOSC</v>
      </c>
      <c r="M33" s="0" t="n">
        <v>-2392.73505469691</v>
      </c>
      <c r="N33" s="0" t="n">
        <v>1164.79212588151</v>
      </c>
      <c r="O33" s="0" t="n">
        <v>-2.054216371772</v>
      </c>
      <c r="P33" s="0" t="n">
        <v>0.0487572767829882</v>
      </c>
      <c r="Q33" s="0" t="n">
        <v>-4771.55793070128</v>
      </c>
      <c r="R33" s="0" t="n">
        <v>-13.9121786925343</v>
      </c>
    </row>
    <row r="34" customFormat="false" ht="12.8" hidden="false" customHeight="false" outlineLevel="0" collapsed="false">
      <c r="A34" s="0" t="str">
        <f aca="false">'Twój kod jest świetny, a co z T'!A34</f>
        <v>poe8uuc88szbgk8kq90poe8uukjwxuy3</v>
      </c>
      <c r="C34" s="0" t="n">
        <f aca="false">'Twój kod jest świetny, a co z T'!AA34</f>
        <v>21300</v>
      </c>
      <c r="D34" s="0" t="n">
        <f aca="false">IF('Twój kod jest świetny, a co z T'!Z34 = "B2B", 1, 0)</f>
        <v>1</v>
      </c>
      <c r="E34" s="0" t="n">
        <f aca="false">'Twój kod jest świetny, a co z T'!D34</f>
        <v>8</v>
      </c>
      <c r="F34" s="0" t="n">
        <f aca="false">'Twój kod jest świetny, a co z T'!AN34</f>
        <v>2</v>
      </c>
      <c r="G34" s="0" t="n">
        <f aca="false">'Twój kod jest świetny, a co z T'!AO34</f>
        <v>3</v>
      </c>
      <c r="H34" s="0" t="n">
        <f aca="false">'Twój kod jest świetny, a co z T'!AP34</f>
        <v>2.75</v>
      </c>
      <c r="I34" s="0" t="n">
        <f aca="false">'Twój kod jest świetny, a co z T'!AQ34</f>
        <v>2.25</v>
      </c>
      <c r="J34" s="0" t="n">
        <f aca="false">'Twój kod jest świetny, a co z T'!AR34</f>
        <v>2.5</v>
      </c>
      <c r="L34" s="0" t="str">
        <f aca="false">$H$1</f>
        <v>WYNIK_SUMIENNOSC</v>
      </c>
      <c r="M34" s="0" t="n">
        <v>1518.09673949366</v>
      </c>
      <c r="N34" s="0" t="n">
        <v>1324.33868119109</v>
      </c>
      <c r="O34" s="0" t="n">
        <v>1.14630551916546</v>
      </c>
      <c r="P34" s="0" t="n">
        <v>0.260730048819594</v>
      </c>
      <c r="Q34" s="0" t="n">
        <v>-1186.56367191721</v>
      </c>
      <c r="R34" s="0" t="n">
        <v>4222.75715090453</v>
      </c>
    </row>
    <row r="35" customFormat="false" ht="12.8" hidden="false" customHeight="false" outlineLevel="0" collapsed="false">
      <c r="A35" s="0" t="str">
        <f aca="false">'Twój kod jest świetny, a co z T'!A35</f>
        <v>rj9dgyv</v>
      </c>
      <c r="C35" s="0" t="n">
        <f aca="false">'Twój kod jest świetny, a co z T'!AA35</f>
        <v>22000</v>
      </c>
      <c r="D35" s="0" t="n">
        <f aca="false">IF('Twój kod jest świetny, a co z T'!Z35 = "B2B", 1, 0)</f>
        <v>0</v>
      </c>
      <c r="E35" s="0" t="n">
        <f aca="false">'Twój kod jest świetny, a co z T'!D35</f>
        <v>9</v>
      </c>
      <c r="F35" s="0" t="n">
        <f aca="false">'Twój kod jest świetny, a co z T'!AN35</f>
        <v>2.5</v>
      </c>
      <c r="G35" s="0" t="n">
        <f aca="false">'Twój kod jest świetny, a co z T'!AO35</f>
        <v>3.25</v>
      </c>
      <c r="H35" s="0" t="n">
        <f aca="false">'Twój kod jest świetny, a co z T'!AP35</f>
        <v>4.25</v>
      </c>
      <c r="I35" s="0" t="n">
        <f aca="false">'Twój kod jest świetny, a co z T'!AQ35</f>
        <v>2</v>
      </c>
      <c r="J35" s="0" t="n">
        <f aca="false">'Twój kod jest świetny, a co z T'!AR35</f>
        <v>4.5</v>
      </c>
      <c r="L35" s="0" t="str">
        <f aca="false">$I$1</f>
        <v>WYNIK_STABILNOSC_EMOCJONALNA</v>
      </c>
      <c r="M35" s="0" t="n">
        <v>-1487.67204556812</v>
      </c>
      <c r="N35" s="0" t="n">
        <v>855.795863558347</v>
      </c>
      <c r="O35" s="0" t="n">
        <v>-1.73834918923594</v>
      </c>
      <c r="P35" s="0" t="n">
        <v>0.0924047520163195</v>
      </c>
      <c r="Q35" s="0" t="n">
        <v>-3235.44036592987</v>
      </c>
      <c r="R35" s="0" t="n">
        <v>260.096274793619</v>
      </c>
    </row>
    <row r="36" customFormat="false" ht="12.8" hidden="false" customHeight="false" outlineLevel="0" collapsed="false">
      <c r="A36" s="0" t="str">
        <f aca="false">'Twój kod jest świetny, a co z T'!A36</f>
        <v>eqOEjgq</v>
      </c>
      <c r="C36" s="0" t="n">
        <f aca="false">'Twój kod jest świetny, a co z T'!AA36</f>
        <v>22500</v>
      </c>
      <c r="D36" s="0" t="n">
        <f aca="false">IF('Twój kod jest świetny, a co z T'!Z36 = "B2B", 1, 0)</f>
        <v>1</v>
      </c>
      <c r="E36" s="0" t="n">
        <f aca="false">'Twój kod jest świetny, a co z T'!D36</f>
        <v>8</v>
      </c>
      <c r="F36" s="0" t="n">
        <f aca="false">'Twój kod jest świetny, a co z T'!AN36</f>
        <v>3</v>
      </c>
      <c r="G36" s="0" t="n">
        <f aca="false">'Twój kod jest świetny, a co z T'!AO36</f>
        <v>3.75</v>
      </c>
      <c r="H36" s="0" t="n">
        <f aca="false">'Twój kod jest świetny, a co z T'!AP36</f>
        <v>4.25</v>
      </c>
      <c r="I36" s="0" t="n">
        <f aca="false">'Twój kod jest świetny, a co z T'!AQ36</f>
        <v>4</v>
      </c>
      <c r="J36" s="0" t="n">
        <f aca="false">'Twój kod jest świetny, a co z T'!AR36</f>
        <v>4.5</v>
      </c>
      <c r="L36" s="0" t="str">
        <f aca="false">$J$1</f>
        <v>WYNIK_INTELEKT</v>
      </c>
      <c r="M36" s="0" t="n">
        <v>-501.388610568562</v>
      </c>
      <c r="N36" s="0" t="n">
        <v>1341.78683657755</v>
      </c>
      <c r="O36" s="0" t="n">
        <v>-0.373672327750238</v>
      </c>
      <c r="P36" s="0" t="n">
        <v>0.711275941501679</v>
      </c>
      <c r="Q36" s="0" t="n">
        <v>-3241.68290913847</v>
      </c>
      <c r="R36" s="0" t="n">
        <v>2238.90568800134</v>
      </c>
    </row>
    <row r="37" customFormat="false" ht="12.8" hidden="false" customHeight="false" outlineLevel="0" collapsed="false">
      <c r="A37" s="0" t="str">
        <f aca="false">'Twój kod jest świetny, a co z T'!A37</f>
        <v>gDP4PR4</v>
      </c>
      <c r="C37" s="0" t="n">
        <f aca="false">'Twój kod jest świetny, a co z T'!AA37</f>
        <v>23000</v>
      </c>
      <c r="D37" s="0" t="n">
        <f aca="false">IF('Twój kod jest świetny, a co z T'!Z37 = "B2B", 1, 0)</f>
        <v>0</v>
      </c>
      <c r="E37" s="0" t="n">
        <f aca="false">'Twój kod jest świetny, a co z T'!D37</f>
        <v>19</v>
      </c>
      <c r="F37" s="0" t="n">
        <f aca="false">'Twój kod jest świetny, a co z T'!AN37</f>
        <v>3.5</v>
      </c>
      <c r="G37" s="0" t="n">
        <f aca="false">'Twój kod jest świetny, a co z T'!AO37</f>
        <v>4.5</v>
      </c>
      <c r="H37" s="0" t="n">
        <f aca="false">'Twój kod jest świetny, a co z T'!AP37</f>
        <v>3.5</v>
      </c>
      <c r="I37" s="0" t="n">
        <f aca="false">'Twój kod jest świetny, a co z T'!AQ37</f>
        <v>2</v>
      </c>
      <c r="J37" s="0" t="n">
        <f aca="false">'Twój kod jest świetny, a co z T'!AR37</f>
        <v>4.5</v>
      </c>
    </row>
    <row r="38" customFormat="false" ht="12.8" hidden="false" customHeight="false" outlineLevel="0" collapsed="false">
      <c r="A38" s="0" t="str">
        <f aca="false">'Twój kod jest świetny, a co z T'!A38</f>
        <v>680x5QP</v>
      </c>
      <c r="C38" s="0" t="n">
        <f aca="false">'Twój kod jest świetny, a co z T'!AA38</f>
        <v>28000</v>
      </c>
      <c r="D38" s="0" t="n">
        <f aca="false">IF('Twój kod jest świetny, a co z T'!Z38 = "B2B", 1, 0)</f>
        <v>1</v>
      </c>
      <c r="E38" s="0" t="n">
        <f aca="false">'Twój kod jest świetny, a co z T'!D38</f>
        <v>10</v>
      </c>
      <c r="F38" s="0" t="n">
        <f aca="false">'Twój kod jest świetny, a co z T'!AN38</f>
        <v>1.25</v>
      </c>
      <c r="G38" s="0" t="n">
        <f aca="false">'Twój kod jest świetny, a co z T'!AO38</f>
        <v>1.5</v>
      </c>
      <c r="H38" s="0" t="n">
        <f aca="false">'Twój kod jest świetny, a co z T'!AP38</f>
        <v>3.75</v>
      </c>
      <c r="I38" s="0" t="n">
        <f aca="false">'Twój kod jest świetny, a co z T'!AQ38</f>
        <v>2</v>
      </c>
      <c r="J38" s="0" t="n">
        <f aca="false">'Twój kod jest świetny, a co z T'!AR38</f>
        <v>2.75</v>
      </c>
      <c r="L38" s="0" t="str">
        <f aca="false">$D$1</f>
        <v>CZY_B2B</v>
      </c>
      <c r="M38" s="0" t="str">
        <f aca="false">$E$1</f>
        <v> STAŻ PRACY</v>
      </c>
      <c r="N38" s="0" t="str">
        <f aca="false">$F$1</f>
        <v>WYNIK_EKSTRAWERSJA</v>
      </c>
      <c r="O38" s="0" t="str">
        <f aca="false">$G$1</f>
        <v>WYNIK_UGODOWOSC</v>
      </c>
      <c r="P38" s="0" t="str">
        <f aca="false">$H$1</f>
        <v>WYNIK_SUMIENNOSC</v>
      </c>
      <c r="Q38" s="0" t="str">
        <f aca="false">$I$1</f>
        <v>WYNIK_STABILNOSC_EMOCJONALNA</v>
      </c>
      <c r="R38" s="0" t="str">
        <f aca="false">$J$1</f>
        <v>WYNIK_INTELEKT</v>
      </c>
      <c r="S38" s="0" t="s">
        <v>189</v>
      </c>
      <c r="T38" s="0" t="str">
        <f aca="false">$C$1</f>
        <v>Zarobki</v>
      </c>
      <c r="U38" s="0" t="s">
        <v>183</v>
      </c>
    </row>
    <row r="39" customFormat="false" ht="12.8" hidden="false" customHeight="false" outlineLevel="0" collapsed="false">
      <c r="A39" s="0" t="str">
        <f aca="false">'Twój kod jest świetny, a co z T'!A39</f>
        <v>obNBg8O</v>
      </c>
      <c r="C39" s="0" t="n">
        <f aca="false">'Twój kod jest świetny, a co z T'!AA39</f>
        <v>33000</v>
      </c>
      <c r="D39" s="0" t="n">
        <f aca="false">IF('Twój kod jest świetny, a co z T'!Z39 = "B2B", 1, 0)</f>
        <v>1</v>
      </c>
      <c r="E39" s="0" t="n">
        <f aca="false">'Twój kod jest świetny, a co z T'!D39</f>
        <v>22</v>
      </c>
      <c r="F39" s="0" t="n">
        <f aca="false">'Twój kod jest świetny, a co z T'!AN39</f>
        <v>1</v>
      </c>
      <c r="G39" s="0" t="n">
        <f aca="false">'Twój kod jest świetny, a co z T'!AO39</f>
        <v>1.75</v>
      </c>
      <c r="H39" s="0" t="n">
        <f aca="false">'Twój kod jest świetny, a co z T'!AP39</f>
        <v>4</v>
      </c>
      <c r="I39" s="0" t="n">
        <f aca="false">'Twój kod jest świetny, a co z T'!AQ39</f>
        <v>2.75</v>
      </c>
      <c r="J39" s="0" t="n">
        <f aca="false">'Twój kod jest świetny, a co z T'!AR39</f>
        <v>3.25</v>
      </c>
      <c r="L39" s="11" t="n">
        <f aca="false" t="array" ref="L39:R76">$D$2:$J$39</f>
        <v>0</v>
      </c>
      <c r="M39" s="0" t="n">
        <v>1</v>
      </c>
      <c r="N39" s="0" t="n">
        <v>3</v>
      </c>
      <c r="O39" s="0" t="n">
        <v>2.5</v>
      </c>
      <c r="P39" s="0" t="n">
        <v>2.75</v>
      </c>
      <c r="Q39" s="0" t="n">
        <v>4.5</v>
      </c>
      <c r="R39" s="0" t="n">
        <v>4.25</v>
      </c>
      <c r="S39" s="0" t="n">
        <f aca="false" t="array" ref="S39:S76">MMULT($L$39:$R$76 , $M$30:$M$36) + $M$29</f>
        <v>6996.5925191717</v>
      </c>
      <c r="T39" s="0" t="n">
        <f aca="false" t="array" ref="T39:T76">$C$2:$C$39</f>
        <v>2000</v>
      </c>
      <c r="U39" s="0" t="n">
        <f aca="false" t="array" ref="U39:U76">$T$39:$T$76 - $S$39:$S$76</f>
        <v>-4996.5925191717</v>
      </c>
    </row>
    <row r="40" customFormat="false" ht="12.8" hidden="false" customHeight="false" outlineLevel="0" collapsed="false">
      <c r="L40" s="11" t="n">
        <v>0</v>
      </c>
      <c r="M40" s="0" t="n">
        <v>1</v>
      </c>
      <c r="N40" s="0" t="n">
        <v>3.75</v>
      </c>
      <c r="O40" s="0" t="n">
        <v>3.75</v>
      </c>
      <c r="P40" s="0" t="n">
        <v>2</v>
      </c>
      <c r="Q40" s="0" t="n">
        <v>2.75</v>
      </c>
      <c r="R40" s="0" t="n">
        <v>2.75</v>
      </c>
      <c r="S40" s="0" t="n">
        <v>5917.90399305776</v>
      </c>
      <c r="T40" s="0" t="n">
        <v>4100</v>
      </c>
      <c r="U40" s="0" t="n">
        <v>-1817.90399305776</v>
      </c>
    </row>
    <row r="41" customFormat="false" ht="12.8" hidden="false" customHeight="false" outlineLevel="0" collapsed="false">
      <c r="L41" s="11" t="n">
        <v>0</v>
      </c>
      <c r="M41" s="0" t="n">
        <v>3</v>
      </c>
      <c r="N41" s="0" t="n">
        <v>3.75</v>
      </c>
      <c r="O41" s="0" t="n">
        <v>4</v>
      </c>
      <c r="P41" s="0" t="n">
        <v>3</v>
      </c>
      <c r="Q41" s="0" t="n">
        <v>4.25</v>
      </c>
      <c r="R41" s="0" t="n">
        <v>4</v>
      </c>
      <c r="S41" s="0" t="n">
        <v>5040.52465247533</v>
      </c>
      <c r="T41" s="0" t="n">
        <v>5600</v>
      </c>
      <c r="U41" s="0" t="n">
        <v>559.475347524667</v>
      </c>
    </row>
    <row r="42" customFormat="false" ht="12.8" hidden="false" customHeight="false" outlineLevel="0" collapsed="false">
      <c r="L42" s="11" t="n">
        <v>0</v>
      </c>
      <c r="M42" s="0" t="n">
        <v>2</v>
      </c>
      <c r="N42" s="0" t="n">
        <v>2.5</v>
      </c>
      <c r="O42" s="0" t="n">
        <v>3.75</v>
      </c>
      <c r="P42" s="0" t="n">
        <v>3</v>
      </c>
      <c r="Q42" s="0" t="n">
        <v>1.75</v>
      </c>
      <c r="R42" s="0" t="n">
        <v>4</v>
      </c>
      <c r="S42" s="0" t="n">
        <v>9335.25635368872</v>
      </c>
      <c r="T42" s="0" t="n">
        <v>6500</v>
      </c>
      <c r="U42" s="0" t="n">
        <v>-2835.25635368872</v>
      </c>
    </row>
    <row r="43" customFormat="false" ht="12.8" hidden="false" customHeight="false" outlineLevel="0" collapsed="false">
      <c r="L43" s="11" t="n">
        <v>0</v>
      </c>
      <c r="M43" s="0" t="n">
        <v>2</v>
      </c>
      <c r="N43" s="0" t="n">
        <v>2.25</v>
      </c>
      <c r="O43" s="0" t="n">
        <v>4</v>
      </c>
      <c r="P43" s="0" t="n">
        <v>2.75</v>
      </c>
      <c r="Q43" s="0" t="n">
        <v>2</v>
      </c>
      <c r="R43" s="0" t="n">
        <v>3.75</v>
      </c>
      <c r="S43" s="0" t="n">
        <v>8212.54626263106</v>
      </c>
      <c r="T43" s="0" t="n">
        <v>6500</v>
      </c>
      <c r="U43" s="0" t="n">
        <v>-1712.54626263106</v>
      </c>
    </row>
    <row r="44" customFormat="false" ht="17.35" hidden="false" customHeight="false" outlineLevel="0" collapsed="false">
      <c r="A44" s="12" t="s">
        <v>122</v>
      </c>
      <c r="B44" s="13"/>
      <c r="C44" s="13"/>
      <c r="D44" s="13"/>
      <c r="E44" s="13"/>
      <c r="F44" s="13"/>
      <c r="G44" s="13"/>
      <c r="H44" s="13"/>
      <c r="I44" s="13"/>
      <c r="J44" s="13"/>
      <c r="L44" s="11" t="n">
        <v>0</v>
      </c>
      <c r="M44" s="0" t="n">
        <v>1.5</v>
      </c>
      <c r="N44" s="0" t="n">
        <v>3</v>
      </c>
      <c r="O44" s="0" t="n">
        <v>2.25</v>
      </c>
      <c r="P44" s="0" t="n">
        <v>4.75</v>
      </c>
      <c r="Q44" s="0" t="n">
        <v>3.5</v>
      </c>
      <c r="R44" s="0" t="n">
        <v>4.5</v>
      </c>
      <c r="S44" s="0" t="n">
        <v>12258.5325335495</v>
      </c>
      <c r="T44" s="0" t="n">
        <v>7000</v>
      </c>
      <c r="U44" s="0" t="n">
        <v>-5258.53253354949</v>
      </c>
    </row>
    <row r="45" customFormat="false" ht="12.8" hidden="false" customHeight="false" outlineLevel="0" collapsed="false">
      <c r="A45" s="6" t="str">
        <f aca="false">'Twój kod jest świetny, a co z T'!A43</f>
        <v>ja89pK6</v>
      </c>
      <c r="B45" s="6"/>
      <c r="C45" s="6" t="n">
        <f aca="false">'Twój kod jest świetny, a co z T'!AA43</f>
        <v>57000</v>
      </c>
      <c r="D45" s="6"/>
      <c r="E45" s="6" t="n">
        <f aca="false">'Twój kod jest świetny, a co z T'!D43</f>
        <v>12</v>
      </c>
      <c r="F45" s="6" t="n">
        <f aca="false">'Twój kod jest świetny, a co z T'!AN40</f>
        <v>0</v>
      </c>
      <c r="G45" s="6" t="n">
        <f aca="false">'Twój kod jest świetny, a co z T'!AO40</f>
        <v>0</v>
      </c>
      <c r="H45" s="6" t="n">
        <f aca="false">'Twój kod jest świetny, a co z T'!AP40</f>
        <v>0</v>
      </c>
      <c r="I45" s="6" t="n">
        <f aca="false">'Twój kod jest świetny, a co z T'!AQ40</f>
        <v>0</v>
      </c>
      <c r="J45" s="6" t="n">
        <f aca="false">'Twój kod jest świetny, a co z T'!AR40</f>
        <v>0</v>
      </c>
      <c r="L45" s="11" t="n">
        <v>0</v>
      </c>
      <c r="M45" s="0" t="n">
        <v>1</v>
      </c>
      <c r="N45" s="0" t="n">
        <v>3</v>
      </c>
      <c r="O45" s="0" t="n">
        <v>4</v>
      </c>
      <c r="P45" s="0" t="n">
        <v>2.25</v>
      </c>
      <c r="Q45" s="0" t="n">
        <v>2.5</v>
      </c>
      <c r="R45" s="0" t="n">
        <v>3.5</v>
      </c>
      <c r="S45" s="0" t="n">
        <v>5999.82711644218</v>
      </c>
      <c r="T45" s="0" t="n">
        <v>7000</v>
      </c>
      <c r="U45" s="0" t="n">
        <v>1000.17288355783</v>
      </c>
    </row>
    <row r="46" customFormat="false" ht="12.8" hidden="false" customHeight="false" outlineLevel="0" collapsed="false">
      <c r="A46" s="6" t="str">
        <f aca="false">'Twój kod jest świetny, a co z T'!A44</f>
        <v>vG84DgX</v>
      </c>
      <c r="B46" s="6"/>
      <c r="C46" s="6" t="n">
        <f aca="false">'Twój kod jest świetny, a co z T'!AA44</f>
        <v>57300</v>
      </c>
      <c r="D46" s="6"/>
      <c r="E46" s="6" t="n">
        <f aca="false">'Twój kod jest świetny, a co z T'!D44</f>
        <v>14</v>
      </c>
      <c r="F46" s="6" t="n">
        <f aca="false">'Twój kod jest świetny, a co z T'!AN41</f>
        <v>0</v>
      </c>
      <c r="G46" s="6" t="n">
        <f aca="false">'Twój kod jest świetny, a co z T'!AO41</f>
        <v>0</v>
      </c>
      <c r="H46" s="6" t="n">
        <f aca="false">'Twój kod jest świetny, a co z T'!AP41</f>
        <v>0</v>
      </c>
      <c r="I46" s="6" t="n">
        <f aca="false">'Twój kod jest świetny, a co z T'!AQ41</f>
        <v>0</v>
      </c>
      <c r="J46" s="6" t="n">
        <f aca="false">'Twój kod jest świetny, a co z T'!AR41</f>
        <v>0</v>
      </c>
      <c r="L46" s="11" t="n">
        <v>0</v>
      </c>
      <c r="M46" s="0" t="n">
        <v>4</v>
      </c>
      <c r="N46" s="0" t="n">
        <v>5</v>
      </c>
      <c r="O46" s="0" t="n">
        <v>2.75</v>
      </c>
      <c r="P46" s="0" t="n">
        <v>3.25</v>
      </c>
      <c r="Q46" s="0" t="n">
        <v>3.25</v>
      </c>
      <c r="R46" s="0" t="n">
        <v>5</v>
      </c>
      <c r="S46" s="0" t="n">
        <v>9419.8832671006</v>
      </c>
      <c r="T46" s="0" t="n">
        <v>8000</v>
      </c>
      <c r="U46" s="0" t="n">
        <v>-1419.8832671006</v>
      </c>
    </row>
    <row r="47" customFormat="false" ht="12.8" hidden="false" customHeight="false" outlineLevel="0" collapsed="false">
      <c r="A47" s="6" t="str">
        <f aca="false">'Twój kod jest świetny, a co z T'!A45</f>
        <v>xdts23vofdriznskr9xdtsns2gzavjyi</v>
      </c>
      <c r="B47" s="6"/>
      <c r="C47" s="6" t="n">
        <f aca="false">'Twój kod jest świetny, a co z T'!AA45</f>
        <v>75000</v>
      </c>
      <c r="D47" s="6"/>
      <c r="E47" s="6" t="n">
        <f aca="false">'Twój kod jest świetny, a co z T'!D45</f>
        <v>8</v>
      </c>
      <c r="F47" s="6" t="n">
        <f aca="false">'Twój kod jest świetny, a co z T'!AN42</f>
        <v>0</v>
      </c>
      <c r="G47" s="6" t="n">
        <f aca="false">'Twój kod jest świetny, a co z T'!AO42</f>
        <v>0</v>
      </c>
      <c r="H47" s="6" t="n">
        <f aca="false">'Twój kod jest świetny, a co z T'!AP42</f>
        <v>0</v>
      </c>
      <c r="I47" s="6" t="n">
        <f aca="false">'Twój kod jest świetny, a co z T'!AQ42</f>
        <v>0</v>
      </c>
      <c r="J47" s="6" t="n">
        <f aca="false">'Twój kod jest świetny, a co z T'!AR42</f>
        <v>0</v>
      </c>
      <c r="L47" s="11" t="n">
        <v>0</v>
      </c>
      <c r="M47" s="0" t="n">
        <v>22</v>
      </c>
      <c r="N47" s="0" t="n">
        <v>4.75</v>
      </c>
      <c r="O47" s="0" t="n">
        <v>5</v>
      </c>
      <c r="P47" s="0" t="n">
        <v>4.25</v>
      </c>
      <c r="Q47" s="0" t="n">
        <v>3.5</v>
      </c>
      <c r="R47" s="0" t="n">
        <v>4.25</v>
      </c>
      <c r="S47" s="0" t="n">
        <v>15208.5819327497</v>
      </c>
      <c r="T47" s="0" t="n">
        <v>9000</v>
      </c>
      <c r="U47" s="0" t="n">
        <v>-6208.58193274975</v>
      </c>
    </row>
    <row r="48" customFormat="false" ht="12.8" hidden="false" customHeight="false" outlineLevel="0" collapsed="false">
      <c r="A48" s="6" t="str">
        <f aca="false">'Twój kod jest świetny, a co z T'!A46</f>
        <v>RGedkrQ</v>
      </c>
      <c r="B48" s="6"/>
      <c r="C48" s="6" t="n">
        <f aca="false">'Twój kod jest świetny, a co z T'!AA46</f>
        <v>82700</v>
      </c>
      <c r="D48" s="6"/>
      <c r="E48" s="6" t="n">
        <f aca="false">'Twój kod jest świetny, a co z T'!D46</f>
        <v>8</v>
      </c>
      <c r="F48" s="6" t="n">
        <f aca="false">'Twój kod jest świetny, a co z T'!AN43</f>
        <v>2.5</v>
      </c>
      <c r="G48" s="6" t="n">
        <f aca="false">'Twój kod jest świetny, a co z T'!AO43</f>
        <v>3.75</v>
      </c>
      <c r="H48" s="6" t="n">
        <f aca="false">'Twój kod jest świetny, a co z T'!AP43</f>
        <v>3.25</v>
      </c>
      <c r="I48" s="6" t="n">
        <f aca="false">'Twój kod jest świetny, a co z T'!AQ43</f>
        <v>2.25</v>
      </c>
      <c r="J48" s="6" t="n">
        <f aca="false">'Twój kod jest świetny, a co z T'!AR43</f>
        <v>3.75</v>
      </c>
      <c r="L48" s="11" t="n">
        <v>1</v>
      </c>
      <c r="M48" s="0" t="n">
        <v>7</v>
      </c>
      <c r="N48" s="0" t="n">
        <v>3.25</v>
      </c>
      <c r="O48" s="0" t="n">
        <v>4.75</v>
      </c>
      <c r="P48" s="0" t="n">
        <v>3.75</v>
      </c>
      <c r="Q48" s="0" t="n">
        <v>1.25</v>
      </c>
      <c r="R48" s="0" t="n">
        <v>4.25</v>
      </c>
      <c r="S48" s="0" t="n">
        <v>15670.0633104929</v>
      </c>
      <c r="T48" s="0" t="n">
        <v>11000</v>
      </c>
      <c r="U48" s="0" t="n">
        <v>-4670.06331049289</v>
      </c>
    </row>
    <row r="49" customFormat="false" ht="12.8" hidden="false" customHeight="false" outlineLevel="0" collapsed="false">
      <c r="A49" s="6" t="str">
        <f aca="false">'Twój kod jest świetny, a co z T'!A47</f>
        <v>zxBjqg8</v>
      </c>
      <c r="B49" s="6"/>
      <c r="C49" s="6" t="n">
        <f aca="false">'Twój kod jest świetny, a co z T'!AA47</f>
        <v>93000</v>
      </c>
      <c r="D49" s="6"/>
      <c r="E49" s="6" t="n">
        <f aca="false">'Twój kod jest świetny, a co z T'!D47</f>
        <v>12</v>
      </c>
      <c r="F49" s="6" t="n">
        <f aca="false">'Twój kod jest świetny, a co z T'!AN44</f>
        <v>3.25</v>
      </c>
      <c r="G49" s="6" t="n">
        <f aca="false">'Twój kod jest świetny, a co z T'!AO44</f>
        <v>3</v>
      </c>
      <c r="H49" s="6" t="n">
        <f aca="false">'Twój kod jest świetny, a co z T'!AP44</f>
        <v>4.75</v>
      </c>
      <c r="I49" s="6" t="n">
        <f aca="false">'Twój kod jest świetny, a co z T'!AQ44</f>
        <v>3.25</v>
      </c>
      <c r="J49" s="6" t="n">
        <f aca="false">'Twój kod jest świetny, a co z T'!AR44</f>
        <v>5</v>
      </c>
      <c r="L49" s="11" t="n">
        <v>0</v>
      </c>
      <c r="M49" s="0" t="n">
        <v>4</v>
      </c>
      <c r="N49" s="0" t="n">
        <v>3.75</v>
      </c>
      <c r="O49" s="0" t="n">
        <v>4</v>
      </c>
      <c r="P49" s="0" t="n">
        <v>2.75</v>
      </c>
      <c r="Q49" s="0" t="n">
        <v>2.5</v>
      </c>
      <c r="R49" s="0" t="n">
        <v>4.25</v>
      </c>
      <c r="S49" s="0" t="n">
        <v>7669.55515228451</v>
      </c>
      <c r="T49" s="0" t="n">
        <v>11000</v>
      </c>
      <c r="U49" s="0" t="n">
        <v>3330.44484771549</v>
      </c>
    </row>
    <row r="50" customFormat="false" ht="12.8" hidden="false" customHeight="false" outlineLevel="0" collapsed="false">
      <c r="A50" s="6" t="str">
        <f aca="false">'Twój kod jest świetny, a co z T'!A48</f>
        <v>5B0QKKM</v>
      </c>
      <c r="B50" s="6"/>
      <c r="C50" s="6" t="n">
        <f aca="false">'Twój kod jest świetny, a co z T'!AA48</f>
        <v>150000</v>
      </c>
      <c r="D50" s="6"/>
      <c r="E50" s="6" t="n">
        <f aca="false">'Twój kod jest świetny, a co z T'!D48</f>
        <v>16</v>
      </c>
      <c r="F50" s="6" t="n">
        <f aca="false">'Twój kod jest świetny, a co z T'!AN45</f>
        <v>2.25</v>
      </c>
      <c r="G50" s="6" t="n">
        <f aca="false">'Twój kod jest świetny, a co z T'!AO45</f>
        <v>4</v>
      </c>
      <c r="H50" s="6" t="n">
        <f aca="false">'Twój kod jest świetny, a co z T'!AP45</f>
        <v>3.25</v>
      </c>
      <c r="I50" s="6" t="n">
        <f aca="false">'Twój kod jest świetny, a co z T'!AQ45</f>
        <v>3.5</v>
      </c>
      <c r="J50" s="6" t="n">
        <f aca="false">'Twój kod jest świetny, a co z T'!AR45</f>
        <v>3.75</v>
      </c>
      <c r="L50" s="11" t="n">
        <v>0</v>
      </c>
      <c r="M50" s="0" t="n">
        <v>5</v>
      </c>
      <c r="N50" s="0" t="n">
        <v>2</v>
      </c>
      <c r="O50" s="0" t="n">
        <v>2.5</v>
      </c>
      <c r="P50" s="0" t="n">
        <v>3</v>
      </c>
      <c r="Q50" s="0" t="n">
        <v>3</v>
      </c>
      <c r="R50" s="0" t="n">
        <v>2.75</v>
      </c>
      <c r="S50" s="0" t="n">
        <v>12887.8855835317</v>
      </c>
      <c r="T50" s="0" t="n">
        <v>12000</v>
      </c>
      <c r="U50" s="0" t="n">
        <v>-887.88558353169</v>
      </c>
    </row>
    <row r="51" customFormat="false" ht="12.8" hidden="false" customHeight="false" outlineLevel="0" collapsed="false">
      <c r="L51" s="11" t="n">
        <v>1</v>
      </c>
      <c r="M51" s="0" t="n">
        <v>5</v>
      </c>
      <c r="N51" s="0" t="n">
        <v>2.25</v>
      </c>
      <c r="O51" s="0" t="n">
        <v>3</v>
      </c>
      <c r="P51" s="0" t="n">
        <v>3</v>
      </c>
      <c r="Q51" s="0" t="n">
        <v>3.25</v>
      </c>
      <c r="R51" s="0" t="n">
        <v>3.75</v>
      </c>
      <c r="S51" s="0" t="n">
        <v>15339.4506655387</v>
      </c>
      <c r="T51" s="0" t="n">
        <v>13000</v>
      </c>
      <c r="U51" s="0" t="n">
        <v>-2339.45066553873</v>
      </c>
    </row>
    <row r="52" customFormat="false" ht="12.8" hidden="false" customHeight="false" outlineLevel="0" collapsed="false">
      <c r="L52" s="11" t="n">
        <v>1</v>
      </c>
      <c r="M52" s="0" t="n">
        <v>6</v>
      </c>
      <c r="N52" s="0" t="n">
        <v>4</v>
      </c>
      <c r="O52" s="0" t="n">
        <v>4.5</v>
      </c>
      <c r="P52" s="0" t="n">
        <v>4</v>
      </c>
      <c r="Q52" s="0" t="n">
        <v>2</v>
      </c>
      <c r="R52" s="0" t="n">
        <v>3.75</v>
      </c>
      <c r="S52" s="0" t="n">
        <v>14947.5296238486</v>
      </c>
      <c r="T52" s="0" t="n">
        <v>13500</v>
      </c>
      <c r="U52" s="0" t="n">
        <v>-1447.52962384859</v>
      </c>
    </row>
    <row r="53" customFormat="false" ht="12.8" hidden="false" customHeight="false" outlineLevel="0" collapsed="false">
      <c r="L53" s="11" t="n">
        <v>0</v>
      </c>
      <c r="M53" s="0" t="n">
        <v>9</v>
      </c>
      <c r="N53" s="0" t="n">
        <v>2.75</v>
      </c>
      <c r="O53" s="0" t="n">
        <v>4</v>
      </c>
      <c r="P53" s="0" t="n">
        <v>3.75</v>
      </c>
      <c r="Q53" s="0" t="n">
        <v>1.75</v>
      </c>
      <c r="R53" s="0" t="n">
        <v>3</v>
      </c>
      <c r="S53" s="0" t="n">
        <v>13988.795342027</v>
      </c>
      <c r="T53" s="0" t="n">
        <v>13500</v>
      </c>
      <c r="U53" s="0" t="n">
        <v>-488.79534202703</v>
      </c>
    </row>
    <row r="54" customFormat="false" ht="12.8" hidden="false" customHeight="false" outlineLevel="0" collapsed="false">
      <c r="L54" s="11" t="n">
        <v>0</v>
      </c>
      <c r="M54" s="0" t="n">
        <v>8</v>
      </c>
      <c r="N54" s="0" t="n">
        <v>1</v>
      </c>
      <c r="O54" s="0" t="n">
        <v>3.25</v>
      </c>
      <c r="P54" s="0" t="n">
        <v>3.5</v>
      </c>
      <c r="Q54" s="0" t="n">
        <v>1.25</v>
      </c>
      <c r="R54" s="0" t="n">
        <v>4.25</v>
      </c>
      <c r="S54" s="0" t="n">
        <v>15701.4279638482</v>
      </c>
      <c r="T54" s="0" t="n">
        <v>14000</v>
      </c>
      <c r="U54" s="0" t="n">
        <v>-1701.42796384825</v>
      </c>
    </row>
    <row r="55" customFormat="false" ht="12.8" hidden="false" customHeight="false" outlineLevel="0" collapsed="false">
      <c r="L55" s="11" t="n">
        <v>1</v>
      </c>
      <c r="M55" s="0" t="n">
        <v>8</v>
      </c>
      <c r="N55" s="0" t="n">
        <v>2.75</v>
      </c>
      <c r="O55" s="0" t="n">
        <v>3.75</v>
      </c>
      <c r="P55" s="0" t="n">
        <v>3.5</v>
      </c>
      <c r="Q55" s="0" t="n">
        <v>4</v>
      </c>
      <c r="R55" s="0" t="n">
        <v>4.5</v>
      </c>
      <c r="S55" s="0" t="n">
        <v>14200.4420924222</v>
      </c>
      <c r="T55" s="0" t="n">
        <v>14000</v>
      </c>
      <c r="U55" s="0" t="n">
        <v>-200.442092422163</v>
      </c>
    </row>
    <row r="56" customFormat="false" ht="12.8" hidden="false" customHeight="false" outlineLevel="0" collapsed="false">
      <c r="L56" s="11" t="n">
        <v>1</v>
      </c>
      <c r="M56" s="0" t="n">
        <v>14</v>
      </c>
      <c r="N56" s="0" t="n">
        <v>2.5</v>
      </c>
      <c r="O56" s="0" t="n">
        <v>4</v>
      </c>
      <c r="P56" s="0" t="n">
        <v>4</v>
      </c>
      <c r="Q56" s="0" t="n">
        <v>2.25</v>
      </c>
      <c r="R56" s="0" t="n">
        <v>4.25</v>
      </c>
      <c r="S56" s="0" t="n">
        <v>20374.5031926041</v>
      </c>
      <c r="T56" s="0" t="n">
        <v>15000</v>
      </c>
      <c r="U56" s="0" t="n">
        <v>-5374.50319260408</v>
      </c>
    </row>
    <row r="57" customFormat="false" ht="12.8" hidden="false" customHeight="false" outlineLevel="0" collapsed="false">
      <c r="L57" s="11" t="n">
        <v>1</v>
      </c>
      <c r="M57" s="0" t="n">
        <v>5</v>
      </c>
      <c r="N57" s="0" t="n">
        <v>1.75</v>
      </c>
      <c r="O57" s="0" t="n">
        <v>3</v>
      </c>
      <c r="P57" s="0" t="n">
        <v>3</v>
      </c>
      <c r="Q57" s="0" t="n">
        <v>4</v>
      </c>
      <c r="R57" s="0" t="n">
        <v>2.5</v>
      </c>
      <c r="S57" s="0" t="n">
        <v>15053.5698270531</v>
      </c>
      <c r="T57" s="0" t="n">
        <v>15000</v>
      </c>
      <c r="U57" s="0" t="n">
        <v>-53.5698270530829</v>
      </c>
    </row>
    <row r="58" customFormat="false" ht="12.8" hidden="false" customHeight="false" outlineLevel="0" collapsed="false">
      <c r="L58" s="11" t="n">
        <v>0</v>
      </c>
      <c r="M58" s="0" t="n">
        <v>22</v>
      </c>
      <c r="N58" s="0" t="n">
        <v>3.5</v>
      </c>
      <c r="O58" s="0" t="n">
        <v>4.5</v>
      </c>
      <c r="P58" s="0" t="n">
        <v>3</v>
      </c>
      <c r="Q58" s="0" t="n">
        <v>2</v>
      </c>
      <c r="R58" s="0" t="n">
        <v>3.75</v>
      </c>
      <c r="S58" s="0" t="n">
        <v>17497.374490567</v>
      </c>
      <c r="T58" s="0" t="n">
        <v>15500</v>
      </c>
      <c r="U58" s="0" t="n">
        <v>-1997.37449056695</v>
      </c>
    </row>
    <row r="59" customFormat="false" ht="12.8" hidden="false" customHeight="false" outlineLevel="0" collapsed="false">
      <c r="L59" s="11" t="n">
        <v>1</v>
      </c>
      <c r="M59" s="0" t="n">
        <v>10</v>
      </c>
      <c r="N59" s="0" t="n">
        <v>1.25</v>
      </c>
      <c r="O59" s="0" t="n">
        <v>2.5</v>
      </c>
      <c r="P59" s="0" t="n">
        <v>2.75</v>
      </c>
      <c r="Q59" s="0" t="n">
        <v>2.25</v>
      </c>
      <c r="R59" s="0" t="n">
        <v>4</v>
      </c>
      <c r="S59" s="0" t="n">
        <v>20577.2725538018</v>
      </c>
      <c r="T59" s="0" t="n">
        <v>16000</v>
      </c>
      <c r="U59" s="0" t="n">
        <v>-4577.27255380182</v>
      </c>
    </row>
    <row r="60" customFormat="false" ht="12.8" hidden="false" customHeight="false" outlineLevel="0" collapsed="false">
      <c r="L60" s="11" t="n">
        <v>1</v>
      </c>
      <c r="M60" s="0" t="n">
        <v>7</v>
      </c>
      <c r="N60" s="0" t="n">
        <v>2.75</v>
      </c>
      <c r="O60" s="0" t="n">
        <v>3</v>
      </c>
      <c r="P60" s="0" t="n">
        <v>3.5</v>
      </c>
      <c r="Q60" s="0" t="n">
        <v>3</v>
      </c>
      <c r="R60" s="0" t="n">
        <v>3.5</v>
      </c>
      <c r="S60" s="0" t="n">
        <v>17453.578282001</v>
      </c>
      <c r="T60" s="0" t="n">
        <v>17000</v>
      </c>
      <c r="U60" s="0" t="n">
        <v>-453.578282001017</v>
      </c>
    </row>
    <row r="61" customFormat="false" ht="12.8" hidden="false" customHeight="false" outlineLevel="0" collapsed="false">
      <c r="L61" s="11" t="n">
        <v>1</v>
      </c>
      <c r="M61" s="0" t="n">
        <v>5</v>
      </c>
      <c r="N61" s="0" t="n">
        <v>2.75</v>
      </c>
      <c r="O61" s="0" t="n">
        <v>3.75</v>
      </c>
      <c r="P61" s="0" t="n">
        <v>3</v>
      </c>
      <c r="Q61" s="0" t="n">
        <v>2.5</v>
      </c>
      <c r="R61" s="0" t="n">
        <v>3.75</v>
      </c>
      <c r="S61" s="0" t="n">
        <v>14457.5159762124</v>
      </c>
      <c r="T61" s="0" t="n">
        <v>17000</v>
      </c>
      <c r="U61" s="0" t="n">
        <v>2542.4840237876</v>
      </c>
    </row>
    <row r="62" customFormat="false" ht="12.8" hidden="false" customHeight="false" outlineLevel="0" collapsed="false">
      <c r="L62" s="11" t="n">
        <v>0</v>
      </c>
      <c r="M62" s="0" t="n">
        <v>8</v>
      </c>
      <c r="N62" s="0" t="n">
        <v>2</v>
      </c>
      <c r="O62" s="0" t="n">
        <v>3.25</v>
      </c>
      <c r="P62" s="0" t="n">
        <v>3.25</v>
      </c>
      <c r="Q62" s="0" t="n">
        <v>3.75</v>
      </c>
      <c r="R62" s="0" t="n">
        <v>3.5</v>
      </c>
      <c r="S62" s="0" t="n">
        <v>11572.4902580215</v>
      </c>
      <c r="T62" s="0" t="n">
        <v>18000</v>
      </c>
      <c r="U62" s="0" t="n">
        <v>6427.50974197855</v>
      </c>
    </row>
    <row r="63" customFormat="false" ht="12.8" hidden="false" customHeight="false" outlineLevel="0" collapsed="false">
      <c r="L63" s="11" t="n">
        <v>1</v>
      </c>
      <c r="M63" s="0" t="n">
        <v>10</v>
      </c>
      <c r="N63" s="0" t="n">
        <v>3.25</v>
      </c>
      <c r="O63" s="0" t="n">
        <v>4.25</v>
      </c>
      <c r="P63" s="0" t="n">
        <v>4.75</v>
      </c>
      <c r="Q63" s="0" t="n">
        <v>1.5</v>
      </c>
      <c r="R63" s="0" t="n">
        <v>4.5</v>
      </c>
      <c r="S63" s="0" t="n">
        <v>19478.6896860424</v>
      </c>
      <c r="T63" s="0" t="n">
        <v>18000</v>
      </c>
      <c r="U63" s="0" t="n">
        <v>-1478.68968604238</v>
      </c>
    </row>
    <row r="64" customFormat="false" ht="12.8" hidden="false" customHeight="false" outlineLevel="0" collapsed="false">
      <c r="L64" s="11" t="n">
        <v>1</v>
      </c>
      <c r="M64" s="0" t="n">
        <v>10</v>
      </c>
      <c r="N64" s="0" t="n">
        <v>3.25</v>
      </c>
      <c r="O64" s="0" t="n">
        <v>3.75</v>
      </c>
      <c r="P64" s="0" t="n">
        <v>4.75</v>
      </c>
      <c r="Q64" s="0" t="n">
        <v>4</v>
      </c>
      <c r="R64" s="0" t="n">
        <v>4.5</v>
      </c>
      <c r="S64" s="0" t="n">
        <v>16955.8770994705</v>
      </c>
      <c r="T64" s="0" t="n">
        <v>19000</v>
      </c>
      <c r="U64" s="0" t="n">
        <v>2044.12290052948</v>
      </c>
    </row>
    <row r="65" customFormat="false" ht="12.8" hidden="false" customHeight="false" outlineLevel="0" collapsed="false">
      <c r="L65" s="11" t="n">
        <v>1</v>
      </c>
      <c r="M65" s="0" t="n">
        <v>8</v>
      </c>
      <c r="N65" s="0" t="n">
        <v>3.5</v>
      </c>
      <c r="O65" s="0" t="n">
        <v>4.25</v>
      </c>
      <c r="P65" s="0" t="n">
        <v>3.25</v>
      </c>
      <c r="Q65" s="0" t="n">
        <v>2.5</v>
      </c>
      <c r="R65" s="0" t="n">
        <v>4.5</v>
      </c>
      <c r="S65" s="0" t="n">
        <v>14551.3522998329</v>
      </c>
      <c r="T65" s="0" t="n">
        <v>20000</v>
      </c>
      <c r="U65" s="0" t="n">
        <v>5448.64770016714</v>
      </c>
    </row>
    <row r="66" customFormat="false" ht="12.8" hidden="false" customHeight="false" outlineLevel="0" collapsed="false">
      <c r="L66" s="11" t="n">
        <v>1</v>
      </c>
      <c r="M66" s="0" t="n">
        <v>23</v>
      </c>
      <c r="N66" s="0" t="n">
        <v>1.25</v>
      </c>
      <c r="O66" s="0" t="n">
        <v>3</v>
      </c>
      <c r="P66" s="0" t="n">
        <v>3.75</v>
      </c>
      <c r="Q66" s="0" t="n">
        <v>3.25</v>
      </c>
      <c r="R66" s="0" t="n">
        <v>3.75</v>
      </c>
      <c r="S66" s="0" t="n">
        <v>26432.8617215677</v>
      </c>
      <c r="T66" s="0" t="n">
        <v>20000</v>
      </c>
      <c r="U66" s="0" t="n">
        <v>-6432.86172156773</v>
      </c>
    </row>
    <row r="67" customFormat="false" ht="12.8" hidden="false" customHeight="false" outlineLevel="0" collapsed="false">
      <c r="L67" s="11" t="n">
        <v>0</v>
      </c>
      <c r="M67" s="0" t="n">
        <v>14</v>
      </c>
      <c r="N67" s="0" t="n">
        <v>3.75</v>
      </c>
      <c r="O67" s="0" t="n">
        <v>3.5</v>
      </c>
      <c r="P67" s="0" t="n">
        <v>3.5</v>
      </c>
      <c r="Q67" s="0" t="n">
        <v>2.5</v>
      </c>
      <c r="R67" s="0" t="n">
        <v>4.5</v>
      </c>
      <c r="S67" s="0" t="n">
        <v>15183.9056574162</v>
      </c>
      <c r="T67" s="0" t="n">
        <v>20000</v>
      </c>
      <c r="U67" s="0" t="n">
        <v>4816.09434258378</v>
      </c>
    </row>
    <row r="68" customFormat="false" ht="12.8" hidden="false" customHeight="false" outlineLevel="0" collapsed="false">
      <c r="L68" s="11" t="n">
        <v>1</v>
      </c>
      <c r="M68" s="0" t="n">
        <v>6</v>
      </c>
      <c r="N68" s="0" t="n">
        <v>1</v>
      </c>
      <c r="O68" s="0" t="n">
        <v>3.25</v>
      </c>
      <c r="P68" s="0" t="n">
        <v>3</v>
      </c>
      <c r="Q68" s="0" t="n">
        <v>1.5</v>
      </c>
      <c r="R68" s="0" t="n">
        <v>3.25</v>
      </c>
      <c r="S68" s="0" t="n">
        <v>18633.7066256729</v>
      </c>
      <c r="T68" s="0" t="n">
        <v>20000</v>
      </c>
      <c r="U68" s="0" t="n">
        <v>1366.29337432712</v>
      </c>
    </row>
    <row r="69" customFormat="false" ht="12.8" hidden="false" customHeight="false" outlineLevel="0" collapsed="false">
      <c r="L69" s="11" t="n">
        <v>1</v>
      </c>
      <c r="M69" s="0" t="n">
        <v>11</v>
      </c>
      <c r="N69" s="0" t="n">
        <v>3.25</v>
      </c>
      <c r="O69" s="0" t="n">
        <v>3.25</v>
      </c>
      <c r="P69" s="0" t="n">
        <v>3.25</v>
      </c>
      <c r="Q69" s="0" t="n">
        <v>2.25</v>
      </c>
      <c r="R69" s="0" t="n">
        <v>4</v>
      </c>
      <c r="S69" s="0" t="n">
        <v>19259.6956601875</v>
      </c>
      <c r="T69" s="0" t="n">
        <v>20000</v>
      </c>
      <c r="U69" s="0" t="n">
        <v>740.304339812501</v>
      </c>
    </row>
    <row r="70" customFormat="false" ht="12.8" hidden="false" customHeight="false" outlineLevel="0" collapsed="false">
      <c r="L70" s="11" t="n">
        <v>1</v>
      </c>
      <c r="M70" s="0" t="n">
        <v>15</v>
      </c>
      <c r="N70" s="0" t="n">
        <v>4.5</v>
      </c>
      <c r="O70" s="0" t="n">
        <v>3.75</v>
      </c>
      <c r="P70" s="0" t="n">
        <v>3.25</v>
      </c>
      <c r="Q70" s="0" t="n">
        <v>2.25</v>
      </c>
      <c r="R70" s="0" t="n">
        <v>3.25</v>
      </c>
      <c r="S70" s="0" t="n">
        <v>20053.4290398882</v>
      </c>
      <c r="T70" s="0" t="n">
        <v>20000</v>
      </c>
      <c r="U70" s="0" t="n">
        <v>-53.4290398881676</v>
      </c>
    </row>
    <row r="71" customFormat="false" ht="12.8" hidden="false" customHeight="false" outlineLevel="0" collapsed="false">
      <c r="L71" s="11" t="n">
        <v>1</v>
      </c>
      <c r="M71" s="0" t="n">
        <v>8</v>
      </c>
      <c r="N71" s="0" t="n">
        <v>2</v>
      </c>
      <c r="O71" s="0" t="n">
        <v>3</v>
      </c>
      <c r="P71" s="0" t="n">
        <v>2.75</v>
      </c>
      <c r="Q71" s="0" t="n">
        <v>2.25</v>
      </c>
      <c r="R71" s="0" t="n">
        <v>2.5</v>
      </c>
      <c r="S71" s="0" t="n">
        <v>18767.3302784256</v>
      </c>
      <c r="T71" s="0" t="n">
        <v>21300</v>
      </c>
      <c r="U71" s="0" t="n">
        <v>2532.66972157444</v>
      </c>
    </row>
    <row r="72" customFormat="false" ht="12.8" hidden="false" customHeight="false" outlineLevel="0" collapsed="false">
      <c r="L72" s="11" t="n">
        <v>0</v>
      </c>
      <c r="M72" s="0" t="n">
        <v>9</v>
      </c>
      <c r="N72" s="0" t="n">
        <v>2.5</v>
      </c>
      <c r="O72" s="0" t="n">
        <v>3.25</v>
      </c>
      <c r="P72" s="0" t="n">
        <v>4.25</v>
      </c>
      <c r="Q72" s="0" t="n">
        <v>2</v>
      </c>
      <c r="R72" s="0" t="n">
        <v>4.5</v>
      </c>
      <c r="S72" s="0" t="n">
        <v>15519.9627917915</v>
      </c>
      <c r="T72" s="0" t="n">
        <v>22000</v>
      </c>
      <c r="U72" s="0" t="n">
        <v>6480.03720820846</v>
      </c>
    </row>
    <row r="73" customFormat="false" ht="12.8" hidden="false" customHeight="false" outlineLevel="0" collapsed="false">
      <c r="L73" s="11" t="n">
        <v>1</v>
      </c>
      <c r="M73" s="0" t="n">
        <v>8</v>
      </c>
      <c r="N73" s="0" t="n">
        <v>3</v>
      </c>
      <c r="O73" s="0" t="n">
        <v>3.75</v>
      </c>
      <c r="P73" s="0" t="n">
        <v>4.25</v>
      </c>
      <c r="Q73" s="0" t="n">
        <v>4</v>
      </c>
      <c r="R73" s="0" t="n">
        <v>4.5</v>
      </c>
      <c r="S73" s="0" t="n">
        <v>15237.4459308025</v>
      </c>
      <c r="T73" s="0" t="n">
        <v>22500</v>
      </c>
      <c r="U73" s="0" t="n">
        <v>7262.55406919746</v>
      </c>
    </row>
    <row r="74" customFormat="false" ht="12.8" hidden="false" customHeight="false" outlineLevel="0" collapsed="false">
      <c r="L74" s="11" t="n">
        <v>0</v>
      </c>
      <c r="M74" s="0" t="n">
        <v>19</v>
      </c>
      <c r="N74" s="0" t="n">
        <v>3.5</v>
      </c>
      <c r="O74" s="0" t="n">
        <v>4.5</v>
      </c>
      <c r="P74" s="0" t="n">
        <v>3.5</v>
      </c>
      <c r="Q74" s="0" t="n">
        <v>2</v>
      </c>
      <c r="R74" s="0" t="n">
        <v>4.5</v>
      </c>
      <c r="S74" s="0" t="n">
        <v>16288.9541296458</v>
      </c>
      <c r="T74" s="0" t="n">
        <v>23000</v>
      </c>
      <c r="U74" s="0" t="n">
        <v>6711.04587035418</v>
      </c>
    </row>
    <row r="75" customFormat="false" ht="12.8" hidden="false" customHeight="false" outlineLevel="0" collapsed="false">
      <c r="L75" s="11" t="n">
        <v>1</v>
      </c>
      <c r="M75" s="0" t="n">
        <v>10</v>
      </c>
      <c r="N75" s="0" t="n">
        <v>1.25</v>
      </c>
      <c r="O75" s="0" t="n">
        <v>1.5</v>
      </c>
      <c r="P75" s="0" t="n">
        <v>3.75</v>
      </c>
      <c r="Q75" s="0" t="n">
        <v>2</v>
      </c>
      <c r="R75" s="0" t="n">
        <v>2.75</v>
      </c>
      <c r="S75" s="0" t="n">
        <v>25486.7581225951</v>
      </c>
      <c r="T75" s="0" t="n">
        <v>28000</v>
      </c>
      <c r="U75" s="0" t="n">
        <v>2513.24187740488</v>
      </c>
    </row>
    <row r="76" customFormat="false" ht="12.8" hidden="false" customHeight="false" outlineLevel="0" collapsed="false">
      <c r="L76" s="11" t="n">
        <v>1</v>
      </c>
      <c r="M76" s="0" t="n">
        <v>22</v>
      </c>
      <c r="N76" s="0" t="n">
        <v>1</v>
      </c>
      <c r="O76" s="0" t="n">
        <v>1.75</v>
      </c>
      <c r="P76" s="0" t="n">
        <v>4</v>
      </c>
      <c r="Q76" s="0" t="n">
        <v>2.75</v>
      </c>
      <c r="R76" s="0" t="n">
        <v>3.25</v>
      </c>
      <c r="S76" s="0" t="n">
        <v>30368.92801154</v>
      </c>
      <c r="T76" s="0" t="n">
        <v>33000</v>
      </c>
      <c r="U76" s="0" t="n">
        <v>2631.07198846002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42</TotalTime>
  <Application>LibreOffice/25.8.4.2$Linux_X86_64 LibreOffice_project/0366609b1de41a39e1896ae41e33c673f2a73802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2026-01-07T15:00:41Z</dcterms:modified>
  <cp:revision>7</cp:revision>
  <dc:subject/>
  <dc:title/>
</cp:coreProperties>
</file>